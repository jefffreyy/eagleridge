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8_{2D87ECB8-54F5-454E-8400-929B03F27727}" xr6:coauthVersionLast="47" xr6:coauthVersionMax="47" xr10:uidLastSave="{00000000-0000-0000-0000-000000000000}"/>
  <bookViews>
    <workbookView xWindow="-28920" yWindow="-75" windowWidth="29040" windowHeight="15720" firstSheet="1" activeTab="1" xr2:uid="{D868F3CB-CE2E-4AE2-AA4C-F1785BF4207E}"/>
  </bookViews>
  <sheets>
    <sheet name="PAYROLL" sheetId="4" r:id="rId1"/>
    <sheet name="PRINT" sheetId="3" r:id="rId2"/>
  </sheets>
  <externalReferences>
    <externalReference r:id="rId3"/>
  </externalReferences>
  <definedNames>
    <definedName name="_xlnm._FilterDatabase" localSheetId="0" hidden="1">PAYROLL!$A$8:$ED$17</definedName>
    <definedName name="_xlnm._FilterDatabase" localSheetId="1" hidden="1">PRINT!$A$1:$W$421</definedName>
    <definedName name="A">PAYROLL!#REF!</definedName>
    <definedName name="aug15b">#REF!</definedName>
    <definedName name="mes">#REF!</definedName>
    <definedName name="_xlnm.Print_Area" localSheetId="0">PAYROLL!$B$1:$CI$17</definedName>
    <definedName name="_xlnm.Print_Area" localSheetId="1">PRINT!$A$1:$P$395</definedName>
    <definedName name="_xlnm.Print_Titles" localSheetId="0">PAYROLL!$D:$D,PAYROLL!$1:$8</definedName>
    <definedName name="Sept30">#REF!</definedName>
    <definedName name="Tax_Code">#REF!</definedName>
    <definedName name="Taxable_Inco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4" l="1"/>
  <c r="B10" i="4"/>
  <c r="B11" i="4" s="1"/>
  <c r="L9" i="4"/>
  <c r="DW5" i="4"/>
  <c r="DY5" i="4" s="1"/>
  <c r="DZ5" i="4" s="1"/>
  <c r="DL3" i="4"/>
  <c r="DL11" i="4" s="1"/>
  <c r="DK3" i="4"/>
  <c r="DK10" i="4" s="1"/>
  <c r="DJ3" i="4"/>
  <c r="DJ10" i="4" s="1"/>
  <c r="DI3" i="4"/>
  <c r="DI11" i="4" s="1"/>
  <c r="BZ3" i="4"/>
  <c r="BY3" i="4"/>
  <c r="BW3" i="4"/>
  <c r="BU3" i="4"/>
  <c r="EC10" i="4" s="1"/>
  <c r="BT3" i="4"/>
  <c r="EB11" i="4" s="1"/>
  <c r="BS3" i="4"/>
  <c r="C3" i="4"/>
  <c r="DJ9" i="4" l="1"/>
  <c r="DI9" i="4"/>
  <c r="DK9" i="4"/>
  <c r="DJ11" i="4"/>
  <c r="DK11" i="4"/>
  <c r="DI10" i="4"/>
  <c r="DL10" i="4"/>
  <c r="DL9" i="4"/>
  <c r="EB10" i="4" l="1"/>
  <c r="DM11" i="4"/>
  <c r="EC9" i="4" l="1"/>
  <c r="DM9" i="4"/>
  <c r="EB9" i="4"/>
  <c r="DM10" i="4"/>
  <c r="EC11" i="4"/>
  <c r="EA11" i="4" l="1"/>
  <c r="DN11" i="4" l="1"/>
  <c r="DO11" i="4"/>
  <c r="ED11" i="4"/>
  <c r="EA9" i="4"/>
  <c r="EA10" i="4"/>
  <c r="ED10" i="4" s="1"/>
  <c r="ED9" i="4" l="1"/>
  <c r="DN9" i="4"/>
  <c r="DO9" i="4"/>
  <c r="DT11" i="4"/>
  <c r="DR11" i="4"/>
  <c r="DQ11" i="4"/>
  <c r="DS11" i="4" s="1"/>
  <c r="DN10" i="4"/>
  <c r="DO10" i="4"/>
  <c r="DU11" i="4" l="1"/>
  <c r="DV11" i="4" s="1"/>
  <c r="DT9" i="4"/>
  <c r="DQ9" i="4"/>
  <c r="DS9" i="4" s="1"/>
  <c r="DR9" i="4"/>
  <c r="DT10" i="4"/>
  <c r="DR10" i="4"/>
  <c r="DQ10" i="4"/>
  <c r="DS10" i="4" s="1"/>
  <c r="DU10" i="4" l="1"/>
  <c r="DV10" i="4" s="1"/>
  <c r="DU9" i="4"/>
  <c r="DV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fopms011</author>
    <author>Avila Virginia SNP</author>
    <author>Gozo Jayson</author>
  </authors>
  <commentList>
    <comment ref="F2" authorId="0" shapeId="0" xr:uid="{9EBD3D2B-25BC-47C6-B7BA-BB61D5E22C18}">
      <text>
        <r>
          <rPr>
            <sz val="9"/>
            <color indexed="81"/>
            <rFont val="Tahoma"/>
            <family val="2"/>
          </rPr>
          <t xml:space="preserve">J.GOZO
Date Format
DD/MMMM/YYYY
</t>
        </r>
      </text>
    </comment>
    <comment ref="O5" authorId="1" shapeId="0" xr:uid="{BC941436-36BA-4A85-87B0-121E8DDFD9E7}">
      <text>
        <r>
          <rPr>
            <sz val="9"/>
            <color indexed="81"/>
            <rFont val="Tahoma"/>
            <family val="2"/>
          </rPr>
          <t xml:space="preserve">change the  # of days every payroll
</t>
        </r>
      </text>
    </comment>
    <comment ref="DW5" authorId="0" shapeId="0" xr:uid="{4AAB4343-282F-40FB-8CF5-D8A11A761952}">
      <text>
        <r>
          <rPr>
            <b/>
            <sz val="9"/>
            <color indexed="81"/>
            <rFont val="Tahoma"/>
            <family val="2"/>
          </rPr>
          <t>fopms011:</t>
        </r>
        <r>
          <rPr>
            <sz val="9"/>
            <color indexed="81"/>
            <rFont val="Tahoma"/>
            <family val="2"/>
          </rPr>
          <t xml:space="preserve">
Design @ 200%</t>
        </r>
      </text>
    </comment>
    <comment ref="AQ8" authorId="2" shapeId="0" xr:uid="{6FD78A23-ECB9-4AB7-8071-536D910611AE}">
      <text>
        <r>
          <rPr>
            <b/>
            <sz val="9"/>
            <color indexed="81"/>
            <rFont val="Tahoma"/>
            <family val="2"/>
          </rPr>
          <t>Gozo Jayson:</t>
        </r>
        <r>
          <rPr>
            <sz val="9"/>
            <color indexed="81"/>
            <rFont val="Tahoma"/>
            <family val="2"/>
          </rPr>
          <t xml:space="preserve">
Medical Reimbursement</t>
        </r>
      </text>
    </comment>
    <comment ref="BP8" authorId="2" shapeId="0" xr:uid="{4E87A26F-3468-4128-B927-6E18E484C3D1}">
      <text>
        <r>
          <rPr>
            <b/>
            <sz val="9"/>
            <color indexed="9"/>
            <rFont val="Tahoma"/>
            <family val="2"/>
          </rPr>
          <t>Gozo Jayson:</t>
        </r>
        <r>
          <rPr>
            <sz val="9"/>
            <color indexed="9"/>
            <rFont val="Tahoma"/>
            <family val="2"/>
          </rPr>
          <t xml:space="preserve">
</t>
        </r>
        <r>
          <rPr>
            <b/>
            <sz val="9"/>
            <color indexed="9"/>
            <rFont val="Tahoma"/>
            <family val="2"/>
          </rPr>
          <t>LOOKUP FROM 15TH PAYROLL column #52</t>
        </r>
      </text>
    </comment>
    <comment ref="CV9" authorId="0" shapeId="0" xr:uid="{67D088CC-D9AD-4F15-8918-111D19400C73}">
      <text>
        <r>
          <rPr>
            <b/>
            <sz val="9"/>
            <color indexed="81"/>
            <rFont val="Tahoma"/>
            <family val="2"/>
          </rPr>
          <t>fopms011:</t>
        </r>
        <r>
          <rPr>
            <sz val="9"/>
            <color indexed="81"/>
            <rFont val="Tahoma"/>
            <family val="2"/>
          </rPr>
          <t xml:space="preserve">
Design @ 200%</t>
        </r>
      </text>
    </comment>
    <comment ref="DW9" authorId="0" shapeId="0" xr:uid="{240930A0-B7DC-4551-AEA3-C36AB1A7FC4B}">
      <text>
        <r>
          <rPr>
            <b/>
            <sz val="9"/>
            <color indexed="81"/>
            <rFont val="Tahoma"/>
            <family val="2"/>
          </rPr>
          <t>fopms011:</t>
        </r>
        <r>
          <rPr>
            <sz val="9"/>
            <color indexed="81"/>
            <rFont val="Tahoma"/>
            <family val="2"/>
          </rPr>
          <t xml:space="preserve">
Design @ 200%</t>
        </r>
      </text>
    </comment>
    <comment ref="CV10" authorId="0" shapeId="0" xr:uid="{218708E4-1E96-4CBE-AF87-B8E79C393631}">
      <text>
        <r>
          <rPr>
            <b/>
            <sz val="9"/>
            <color indexed="81"/>
            <rFont val="Tahoma"/>
            <family val="2"/>
          </rPr>
          <t>fopms011:</t>
        </r>
        <r>
          <rPr>
            <sz val="9"/>
            <color indexed="81"/>
            <rFont val="Tahoma"/>
            <family val="2"/>
          </rPr>
          <t xml:space="preserve">
Design @ 200%</t>
        </r>
      </text>
    </comment>
    <comment ref="DW10" authorId="0" shapeId="0" xr:uid="{96D3636B-CECF-4138-B45C-32DF1A0418F5}">
      <text>
        <r>
          <rPr>
            <b/>
            <sz val="9"/>
            <color indexed="81"/>
            <rFont val="Tahoma"/>
            <family val="2"/>
          </rPr>
          <t>fopms011:</t>
        </r>
        <r>
          <rPr>
            <sz val="9"/>
            <color indexed="81"/>
            <rFont val="Tahoma"/>
            <family val="2"/>
          </rPr>
          <t xml:space="preserve">
Design @ 200%</t>
        </r>
      </text>
    </comment>
    <comment ref="CV11" authorId="0" shapeId="0" xr:uid="{A1C8418C-9E8E-451C-AFB1-4D001EFB0E5C}">
      <text>
        <r>
          <rPr>
            <b/>
            <sz val="9"/>
            <color indexed="81"/>
            <rFont val="Tahoma"/>
            <family val="2"/>
          </rPr>
          <t>fopms011:</t>
        </r>
        <r>
          <rPr>
            <sz val="9"/>
            <color indexed="81"/>
            <rFont val="Tahoma"/>
            <family val="2"/>
          </rPr>
          <t xml:space="preserve">
Design @ 200%</t>
        </r>
      </text>
    </comment>
    <comment ref="DW11" authorId="0" shapeId="0" xr:uid="{CEB3EFF7-3D9C-4056-AB37-943C78D19827}">
      <text>
        <r>
          <rPr>
            <b/>
            <sz val="9"/>
            <color indexed="81"/>
            <rFont val="Tahoma"/>
            <family val="2"/>
          </rPr>
          <t>fopms011:</t>
        </r>
        <r>
          <rPr>
            <sz val="9"/>
            <color indexed="81"/>
            <rFont val="Tahoma"/>
            <family val="2"/>
          </rPr>
          <t xml:space="preserve">
Design @ 200%</t>
        </r>
      </text>
    </comment>
  </commentList>
</comments>
</file>

<file path=xl/sharedStrings.xml><?xml version="1.0" encoding="utf-8"?>
<sst xmlns="http://schemas.openxmlformats.org/spreadsheetml/2006/main" count="563" uniqueCount="240">
  <si>
    <t>SUMINAC PHILIPPINES, INC.</t>
  </si>
  <si>
    <t>RANK &amp; FILE PAYROLL 2023</t>
  </si>
  <si>
    <t>30 AUGUST 2023</t>
  </si>
  <si>
    <t>NEW MEMBERS</t>
  </si>
  <si>
    <t>RANK &amp; FILE PAYROLL 2019</t>
  </si>
  <si>
    <t xml:space="preserve">note: </t>
    <phoneticPr fontId="0" type="noConversion"/>
  </si>
  <si>
    <t>OFF SHORE</t>
  </si>
  <si>
    <t>RD</t>
  </si>
  <si>
    <t>updated 3/27/19</t>
  </si>
  <si>
    <t>SSS/ PHIC/ HDMF CONTRIBUTION</t>
  </si>
  <si>
    <t>old rate</t>
  </si>
  <si>
    <t>ML / RESIGNED</t>
  </si>
  <si>
    <t>REGULAR HOURS THIS PERIOD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</si>
  <si>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</si>
  <si>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</si>
  <si>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</si>
  <si>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</si>
  <si>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</si>
  <si>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</si>
  <si>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</si>
  <si>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</si>
  <si>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</si>
  <si>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</si>
  <si>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</t>
  </si>
  <si>
    <t>l</t>
  </si>
  <si>
    <t>m</t>
  </si>
  <si>
    <t>n</t>
  </si>
  <si>
    <t>o</t>
  </si>
  <si>
    <t>p</t>
  </si>
  <si>
    <t>q</t>
  </si>
  <si>
    <t>s</t>
  </si>
  <si>
    <t>r</t>
  </si>
  <si>
    <t>k</t>
  </si>
  <si>
    <t>u = sum(a:t)</t>
  </si>
  <si>
    <t>w</t>
  </si>
  <si>
    <t>x</t>
  </si>
  <si>
    <t>y</t>
  </si>
  <si>
    <t>z</t>
  </si>
  <si>
    <t>aa</t>
  </si>
  <si>
    <t>ab</t>
  </si>
  <si>
    <t>ac</t>
  </si>
  <si>
    <t>ae</t>
  </si>
  <si>
    <t>ad</t>
  </si>
  <si>
    <t>af</t>
  </si>
  <si>
    <t>ag</t>
  </si>
  <si>
    <t>ah</t>
  </si>
  <si>
    <t>ai = sum(w:ah)</t>
  </si>
  <si>
    <t>ak = u - ai</t>
  </si>
  <si>
    <t>aj</t>
  </si>
  <si>
    <t>IMPORTANT</t>
  </si>
  <si>
    <t>Line</t>
  </si>
  <si>
    <t>ACTUAL HOURS</t>
  </si>
  <si>
    <t>TAXABLE INCOME</t>
  </si>
  <si>
    <t>GOVT CONTRI</t>
  </si>
  <si>
    <t>GOVT LOANS</t>
  </si>
  <si>
    <t>COMPANY</t>
  </si>
  <si>
    <t>OTHERS</t>
  </si>
  <si>
    <t>15TH PAYROLL</t>
  </si>
  <si>
    <t>SSS</t>
  </si>
  <si>
    <t>PHILHEALTH</t>
  </si>
  <si>
    <t>PAGIBIG</t>
  </si>
  <si>
    <t>LOANS</t>
  </si>
  <si>
    <t>WITHHOLDING TAXES</t>
  </si>
  <si>
    <t>EMPLOYER GOVT CONTRIBUTION</t>
  </si>
  <si>
    <t>PAYSLIP NO</t>
  </si>
  <si>
    <t>Seq.  No.</t>
  </si>
  <si>
    <t>DEPT.</t>
  </si>
  <si>
    <t>ID No.</t>
  </si>
  <si>
    <t>NAME</t>
  </si>
  <si>
    <t>SECTION</t>
  </si>
  <si>
    <t>LOCATION</t>
  </si>
  <si>
    <t>DATE HIRED</t>
  </si>
  <si>
    <t>TITLE</t>
  </si>
  <si>
    <t>TYPE</t>
  </si>
  <si>
    <t>TAX CODE</t>
  </si>
  <si>
    <t>EQUIV. MONTHLY RATE</t>
  </si>
  <si>
    <t>DAILY RATE</t>
  </si>
  <si>
    <t>NEW DAILY RATE</t>
  </si>
  <si>
    <t>No. of Hrs (Factor)</t>
  </si>
  <si>
    <t>ST (Hours)</t>
    <phoneticPr fontId="0" type="noConversion"/>
  </si>
  <si>
    <t>No. of Hrs Absent</t>
  </si>
  <si>
    <t>SWAP (Hours)</t>
  </si>
  <si>
    <t>Regular OT (ROT) Hours</t>
  </si>
  <si>
    <t>REST DAY OT 130% (Hours)</t>
  </si>
  <si>
    <t>Excess OT on RestDay (Hours)</t>
  </si>
  <si>
    <t>ND (Hours)</t>
  </si>
  <si>
    <t>Half Month Rate</t>
  </si>
  <si>
    <t>Absent Amount</t>
  </si>
  <si>
    <t>ST Amount</t>
  </si>
  <si>
    <t xml:space="preserve">SWAP </t>
  </si>
  <si>
    <t>Regular OT (ROT) Amount</t>
  </si>
  <si>
    <t>REST DAY OT 130% (Amount)</t>
  </si>
  <si>
    <t>Excess OT on RestDay (Amount)</t>
  </si>
  <si>
    <t>ND Amount</t>
  </si>
  <si>
    <t>Add'tl benefit - Allowance</t>
  </si>
  <si>
    <t>Other Taxable Adjustment</t>
  </si>
  <si>
    <t>TOTAL TAXABLE INCOME</t>
  </si>
  <si>
    <t>OT Meal Allow</t>
  </si>
  <si>
    <t>Rice Subsidy/ Allowance</t>
  </si>
  <si>
    <t>CTPA</t>
  </si>
  <si>
    <t>SEA</t>
  </si>
  <si>
    <t>Transpo Allow</t>
  </si>
  <si>
    <t>SWC Amount</t>
  </si>
  <si>
    <t>FREE LUNCH</t>
  </si>
  <si>
    <t>Medical Reimbursement</t>
  </si>
  <si>
    <t>Other Benefit - Non Tax Allowance</t>
  </si>
  <si>
    <t>Other Adjustment (Non Taxable)</t>
  </si>
  <si>
    <t>TOTAL NON-TAXABLE INCOME</t>
  </si>
  <si>
    <t>GROSS PAY</t>
  </si>
  <si>
    <t>W/Hold Tax</t>
  </si>
  <si>
    <t>SSS Contri</t>
  </si>
  <si>
    <t>Philhealth Contri</t>
  </si>
  <si>
    <t xml:space="preserve">SSS Salary Loan </t>
  </si>
  <si>
    <t xml:space="preserve">SSS Calamity Loan </t>
  </si>
  <si>
    <t>HDMF MPL Loan</t>
  </si>
  <si>
    <t>HDMF CAL Loan</t>
  </si>
  <si>
    <t>Health Card</t>
  </si>
  <si>
    <t>CMCL</t>
  </si>
  <si>
    <t>Other Company Deduction</t>
    <phoneticPr fontId="0" type="noConversion"/>
  </si>
  <si>
    <t>Canteen</t>
    <phoneticPr fontId="0" type="noConversion"/>
  </si>
  <si>
    <t>Coop</t>
  </si>
  <si>
    <t>RCBC Loan</t>
  </si>
  <si>
    <t>TOTAL DEDUCTION</t>
  </si>
  <si>
    <t>NET PAY</t>
  </si>
  <si>
    <t>Account Number</t>
  </si>
  <si>
    <t>MONTH</t>
  </si>
  <si>
    <t>PERIOD</t>
  </si>
  <si>
    <t>BASIC PAY FOR 13TH MO</t>
  </si>
  <si>
    <t>MONTHLY INCOME FOR PHIC</t>
  </si>
  <si>
    <t>GROSS PAY 15TH</t>
  </si>
  <si>
    <t>GROSS PAY 30TH</t>
  </si>
  <si>
    <t>TOTAL GROSS PAY</t>
  </si>
  <si>
    <t>SSS Contribution</t>
  </si>
  <si>
    <t>PHIC</t>
  </si>
  <si>
    <t>Philhealth Contribution</t>
  </si>
  <si>
    <t>Pagibig Contribution</t>
  </si>
  <si>
    <t>Pagibig Contribution2</t>
  </si>
  <si>
    <t>Pagibig TOTAL</t>
  </si>
  <si>
    <t>Modified Pag-ibig II</t>
  </si>
  <si>
    <t>SSS SALARY</t>
    <phoneticPr fontId="0" type="noConversion"/>
  </si>
  <si>
    <t>SSS CALAMITY</t>
    <phoneticPr fontId="0" type="noConversion"/>
  </si>
  <si>
    <t>Taxable Income</t>
  </si>
  <si>
    <t>Mandatory Contribution</t>
  </si>
  <si>
    <t>Tax Code</t>
  </si>
  <si>
    <t>Compensation Level</t>
  </si>
  <si>
    <t>Tax due on Compensation Level</t>
  </si>
  <si>
    <t>Excess on Compensation Level</t>
  </si>
  <si>
    <t>Tax Rate on Excess</t>
  </si>
  <si>
    <t>Tax Due on Excess</t>
  </si>
  <si>
    <t>TOTAL Tax Due</t>
  </si>
  <si>
    <t>ESTIMATED 13TH MO &amp; BONUS 190% (ACTUAL 170%-194%)</t>
  </si>
  <si>
    <t>BIR CEILING on 13TH MONTH &amp; OTHER BONUS</t>
  </si>
  <si>
    <t>TAXABLE (EXCESS)</t>
  </si>
  <si>
    <t>ADDITIONAL TAXABLE PER PAYROLL</t>
  </si>
  <si>
    <t>SSS EMPLOYER SHARE</t>
  </si>
  <si>
    <t>Philhealth EMPLOYER SHARE</t>
  </si>
  <si>
    <t>Pagibig EMPLOYER SHARE</t>
  </si>
  <si>
    <t>TOTAL EMPLOYER SHARE</t>
  </si>
  <si>
    <t>TOTAL OT HOURS</t>
  </si>
  <si>
    <t>TOTAL OT COST</t>
  </si>
  <si>
    <t>STATUS</t>
  </si>
  <si>
    <t>TAX REFUND</t>
  </si>
  <si>
    <t>Ilagan,Roselle</t>
  </si>
  <si>
    <t>Production Control</t>
  </si>
  <si>
    <t>SN TRAINEE</t>
  </si>
  <si>
    <t>Semi-Mo.</t>
  </si>
  <si>
    <t>S</t>
  </si>
  <si>
    <t>AUG 2023</t>
  </si>
  <si>
    <t>M</t>
  </si>
  <si>
    <t>Ugsang, John Ryuchie</t>
  </si>
  <si>
    <t>Maintenance</t>
  </si>
  <si>
    <t>TL 1</t>
  </si>
  <si>
    <t>M4</t>
  </si>
  <si>
    <t xml:space="preserve">Rotairo, Jennifer </t>
  </si>
  <si>
    <t>Quality Control</t>
  </si>
  <si>
    <t>Daily</t>
  </si>
  <si>
    <t>M2</t>
  </si>
  <si>
    <t>Prepared By:</t>
  </si>
  <si>
    <t xml:space="preserve">Checked by: </t>
  </si>
  <si>
    <t>Reviewed By:</t>
  </si>
  <si>
    <t>Approved By:</t>
  </si>
  <si>
    <t>(11 - 25 AUG, 2023)</t>
  </si>
  <si>
    <t>CHECKING</t>
  </si>
  <si>
    <t>VARIANCE</t>
  </si>
  <si>
    <t xml:space="preserve">Section :  </t>
  </si>
  <si>
    <t/>
  </si>
  <si>
    <t>No. 0001</t>
  </si>
  <si>
    <t>TAXABLE COMPENSATION</t>
  </si>
  <si>
    <t>Hours</t>
  </si>
  <si>
    <t>Amount</t>
  </si>
  <si>
    <t>NON TAXABLE ALLOWANCE &amp; BENEFITS</t>
  </si>
  <si>
    <t>DEDUCTIONS</t>
  </si>
  <si>
    <t>Basic Pay</t>
  </si>
  <si>
    <t>:</t>
  </si>
  <si>
    <t>OT Meal allowance</t>
  </si>
  <si>
    <t>Adjustment</t>
  </si>
  <si>
    <r>
      <t>Less: Absences/SWAP (</t>
    </r>
    <r>
      <rPr>
        <i/>
        <sz val="10"/>
        <color theme="0" tint="-0.499984740745262"/>
        <rFont val="Arial"/>
        <family val="2"/>
      </rPr>
      <t>monthly</t>
    </r>
    <r>
      <rPr>
        <sz val="10"/>
        <color theme="0" tint="-0.499984740745262"/>
        <rFont val="Arial"/>
        <family val="2"/>
      </rPr>
      <t>)</t>
    </r>
  </si>
  <si>
    <t>Rice subsidy</t>
  </si>
  <si>
    <t>W/holding Tax</t>
  </si>
  <si>
    <t>SWAP</t>
  </si>
  <si>
    <t>SSS contribution</t>
  </si>
  <si>
    <t>Regular OT (125%)</t>
  </si>
  <si>
    <t>Philhealth contribution</t>
  </si>
  <si>
    <t>Rest Day OT (130%)</t>
  </si>
  <si>
    <t>Transportation allow.</t>
  </si>
  <si>
    <t>Pag-ibig contri/Pag-ibig 2</t>
  </si>
  <si>
    <t>Excess OT on RD (30%)</t>
  </si>
  <si>
    <t>SWC</t>
  </si>
  <si>
    <t>SSS loan</t>
  </si>
  <si>
    <t>Legal/Co. Holiday No work (100%)</t>
  </si>
  <si>
    <t>Free Lunch</t>
    <phoneticPr fontId="0" type="noConversion"/>
  </si>
  <si>
    <t>Pag-ibig MPL</t>
  </si>
  <si>
    <t xml:space="preserve"> </t>
  </si>
  <si>
    <t>Legal holiday (w/ work)</t>
  </si>
  <si>
    <t>Medical</t>
  </si>
  <si>
    <t>Pag-ibig Calamity Loan</t>
  </si>
  <si>
    <t>Special/Co. holiday on WD</t>
  </si>
  <si>
    <t>Special/Co. Holiday on RD</t>
  </si>
  <si>
    <t>Night Differential (10%)</t>
  </si>
  <si>
    <t>13TH Mo/ Bonus</t>
  </si>
  <si>
    <t>Welfare contribution</t>
  </si>
  <si>
    <t>Additional benefit</t>
  </si>
  <si>
    <t>Other deductions</t>
  </si>
  <si>
    <t>SL/IL conversion (over 10 days)</t>
  </si>
  <si>
    <r>
      <t>SL/IL (</t>
    </r>
    <r>
      <rPr>
        <i/>
        <sz val="10"/>
        <color theme="0" tint="-0.499984740745262"/>
        <rFont val="Arial"/>
        <family val="2"/>
      </rPr>
      <t>&lt;10 days</t>
    </r>
    <r>
      <rPr>
        <sz val="10"/>
        <color theme="0" tint="-0.499984740745262"/>
        <rFont val="Arial"/>
        <family val="2"/>
      </rPr>
      <t>)</t>
    </r>
  </si>
  <si>
    <t>Canteen</t>
  </si>
  <si>
    <t>Taxable Adjustments</t>
  </si>
  <si>
    <t>Other Adjustments</t>
  </si>
  <si>
    <t>COOP</t>
  </si>
  <si>
    <t>TOTAL TAXABLE</t>
  </si>
  <si>
    <t>TOTAL NON TAXABLE</t>
  </si>
  <si>
    <t>GR</t>
  </si>
  <si>
    <t>Accumulated Taxable Income</t>
  </si>
  <si>
    <t>DE</t>
  </si>
  <si>
    <t>Accumumlated W/TAX</t>
  </si>
  <si>
    <t>Total IL/SL conversion</t>
  </si>
  <si>
    <t>NET</t>
  </si>
  <si>
    <t xml:space="preserve">           </t>
  </si>
  <si>
    <t>No. 0002</t>
  </si>
  <si>
    <t>No. 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</si>
</sst>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[$-409]d\-mmm\-yy;@"/>
    <numFmt numFmtId="167" formatCode="#,##0.00_ ;[Red]\-#,##0.00\ "/>
    <numFmt numFmtId="168" formatCode="[$-409]dd\-mmm\-yy;@"/>
    <numFmt numFmtId="169" formatCode="_-* #,##0.00_-;\-* #,##0.00_-;_-* &quot;-&quot;_-;_-@_-"/>
    <numFmt numFmtId="170" formatCode="#\ ??/12"/>
    <numFmt numFmtId="171" formatCode="_(* #,##0.00_);_(* \(#,##0.00\);_(* &quot;-&quot;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8"/>
      <color rgb="FFFF0000"/>
      <name val="Arial"/>
      <family val="2"/>
    </font>
    <font>
      <sz val="10"/>
      <color theme="0" tint="-0.499984740745262"/>
      <name val="Arial"/>
      <family val="2"/>
    </font>
    <font>
      <i/>
      <sz val="8"/>
      <color theme="0" tint="-0.499984740745262"/>
      <name val="Arial"/>
      <family val="2"/>
    </font>
    <font>
      <sz val="10"/>
      <color rgb="FFFF0000"/>
      <name val="Arial"/>
      <family val="2"/>
    </font>
    <font>
      <b/>
      <sz val="10"/>
      <color rgb="FF0000CC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0"/>
      <name val="Trebuchet MS"/>
      <family val="2"/>
    </font>
    <font>
      <u/>
      <sz val="10"/>
      <color theme="0" tint="-0.499984740745262"/>
      <name val="Arial"/>
      <family val="2"/>
    </font>
    <font>
      <sz val="10"/>
      <color theme="0" tint="-0.499984740745262"/>
      <name val="Tahoma"/>
      <family val="2"/>
    </font>
    <font>
      <i/>
      <sz val="10"/>
      <color theme="0" tint="-0.499984740745262"/>
      <name val="Arial"/>
      <family val="2"/>
    </font>
    <font>
      <sz val="8"/>
      <color theme="0" tint="-0.499984740745262"/>
      <name val="Arial"/>
      <family val="2"/>
    </font>
    <font>
      <b/>
      <sz val="10"/>
      <color theme="0" tint="-0.499984740745262"/>
      <name val="Arial"/>
      <family val="2"/>
    </font>
    <font>
      <sz val="10"/>
      <color theme="0" tint="-0.499984740745262"/>
      <name val="Trebuchet MS"/>
      <family val="2"/>
    </font>
    <font>
      <i/>
      <sz val="8"/>
      <color rgb="FF0000CC"/>
      <name val="Arial"/>
      <family val="2"/>
    </font>
    <font>
      <i/>
      <sz val="8"/>
      <color theme="0" tint="-0.499984740745262"/>
      <name val="Tahoma"/>
      <family val="2"/>
    </font>
    <font>
      <b/>
      <i/>
      <sz val="9"/>
      <color theme="0" tint="-0.499984740745262"/>
      <name val="Tahoma"/>
      <family val="2"/>
    </font>
    <font>
      <b/>
      <sz val="10"/>
      <color theme="0" tint="-0.499984740745262"/>
      <name val="Trebuchet MS"/>
      <family val="2"/>
    </font>
    <font>
      <b/>
      <sz val="10"/>
      <color theme="0" tint="-0.499984740745262"/>
      <name val="Tahoma"/>
      <family val="2"/>
    </font>
    <font>
      <sz val="8"/>
      <color rgb="FF0000CC"/>
      <name val="Arial"/>
      <family val="2"/>
    </font>
    <font>
      <b/>
      <sz val="9"/>
      <color theme="0" tint="-0.499984740745262"/>
      <name val="Arial"/>
      <family val="2"/>
    </font>
    <font>
      <b/>
      <i/>
      <sz val="8"/>
      <color theme="0" tint="-0.499984740745262"/>
      <name val="Arial"/>
      <family val="2"/>
    </font>
    <font>
      <sz val="9"/>
      <color theme="0" tint="-0.49998474074526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b/>
      <i/>
      <sz val="10"/>
      <color theme="1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sz val="10"/>
      <color indexed="14"/>
      <name val="Arial"/>
      <family val="2"/>
    </font>
    <font>
      <b/>
      <sz val="10"/>
      <name val="Arial"/>
      <family val="2"/>
    </font>
    <font>
      <b/>
      <sz val="9"/>
      <color indexed="9"/>
      <name val="Tahoma"/>
      <family val="2"/>
    </font>
    <font>
      <sz val="9"/>
      <color indexed="9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A8F67C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8">
    <xf numFmtId="0" fontId="0" fillId="0" borderId="0" xfId="0"/>
    <xf numFmtId="0" fontId="6" fillId="0" borderId="0" xfId="1" applyFont="1" applyAlignment="1">
      <alignment horizontal="left"/>
    </xf>
    <xf numFmtId="0" fontId="7" fillId="0" borderId="0" xfId="1" applyFont="1"/>
    <xf numFmtId="0" fontId="7" fillId="0" borderId="0" xfId="1" applyFont="1" applyAlignment="1">
      <alignment horizontal="left"/>
    </xf>
    <xf numFmtId="0" fontId="8" fillId="0" borderId="0" xfId="1" applyFont="1"/>
    <xf numFmtId="0" fontId="7" fillId="0" borderId="0" xfId="2" applyNumberFormat="1" applyFont="1" applyFill="1" applyAlignment="1">
      <alignment horizontal="left"/>
    </xf>
    <xf numFmtId="0" fontId="7" fillId="0" borderId="0" xfId="1" applyFont="1" applyAlignment="1">
      <alignment horizontal="right"/>
    </xf>
    <xf numFmtId="0" fontId="9" fillId="0" borderId="0" xfId="1" applyFont="1"/>
    <xf numFmtId="0" fontId="10" fillId="0" borderId="0" xfId="1" applyFont="1"/>
    <xf numFmtId="0" fontId="1" fillId="0" borderId="0" xfId="1"/>
    <xf numFmtId="0" fontId="7" fillId="0" borderId="0" xfId="2" applyNumberFormat="1" applyFont="1" applyFill="1" applyAlignment="1">
      <alignment horizontal="right"/>
    </xf>
    <xf numFmtId="0" fontId="1" fillId="0" borderId="0" xfId="2" applyNumberFormat="1" applyFill="1" applyAlignment="1">
      <alignment horizontal="center"/>
    </xf>
    <xf numFmtId="0" fontId="11" fillId="0" borderId="0" xfId="2" applyNumberFormat="1" applyFont="1" applyAlignment="1">
      <alignment horizontal="left" vertical="center"/>
    </xf>
    <xf numFmtId="0" fontId="11" fillId="0" borderId="0" xfId="2" applyNumberFormat="1" applyFont="1"/>
    <xf numFmtId="43" fontId="12" fillId="0" borderId="0" xfId="2" applyFont="1" applyAlignment="1">
      <alignment horizontal="center" vertical="center"/>
    </xf>
    <xf numFmtId="43" fontId="12" fillId="0" borderId="0" xfId="2" applyFont="1" applyFill="1" applyAlignment="1">
      <alignment horizontal="center" vertical="center"/>
    </xf>
    <xf numFmtId="43" fontId="13" fillId="0" borderId="0" xfId="2" applyFont="1" applyFill="1" applyAlignment="1">
      <alignment horizontal="center" vertical="center"/>
    </xf>
    <xf numFmtId="0" fontId="1" fillId="0" borderId="0" xfId="2" applyNumberFormat="1" applyFill="1" applyAlignment="1">
      <alignment horizontal="left" vertical="center"/>
    </xf>
    <xf numFmtId="0" fontId="0" fillId="0" borderId="0" xfId="2" applyNumberFormat="1" applyFont="1" applyFill="1" applyAlignment="1">
      <alignment horizontal="center" vertical="center"/>
    </xf>
    <xf numFmtId="0" fontId="14" fillId="0" borderId="0" xfId="2" applyNumberFormat="1" applyFont="1" applyFill="1" applyAlignment="1">
      <alignment horizontal="center" vertical="center"/>
    </xf>
    <xf numFmtId="0" fontId="1" fillId="0" borderId="0" xfId="2" applyNumberFormat="1" applyFill="1" applyAlignment="1">
      <alignment vertical="center"/>
    </xf>
    <xf numFmtId="166" fontId="14" fillId="0" borderId="0" xfId="2" quotePrefix="1" applyNumberFormat="1" applyFont="1" applyFill="1" applyAlignment="1">
      <alignment horizontal="right" vertical="center"/>
    </xf>
    <xf numFmtId="0" fontId="9" fillId="0" borderId="0" xfId="2" applyNumberFormat="1" applyFont="1"/>
    <xf numFmtId="0" fontId="7" fillId="0" borderId="0" xfId="2" applyNumberFormat="1" applyFont="1"/>
    <xf numFmtId="0" fontId="7" fillId="0" borderId="0" xfId="2" applyNumberFormat="1" applyFont="1" applyAlignment="1">
      <alignment horizontal="left"/>
    </xf>
    <xf numFmtId="0" fontId="1" fillId="0" borderId="0" xfId="2" applyNumberFormat="1" applyAlignment="1">
      <alignment horizontal="left"/>
    </xf>
    <xf numFmtId="0" fontId="1" fillId="0" borderId="0" xfId="2" applyNumberFormat="1"/>
    <xf numFmtId="43" fontId="1" fillId="0" borderId="0" xfId="2" applyFill="1" applyAlignment="1">
      <alignment horizontal="center" vertical="center"/>
    </xf>
    <xf numFmtId="0" fontId="1" fillId="0" borderId="0" xfId="2" applyNumberFormat="1" applyFill="1"/>
    <xf numFmtId="0" fontId="15" fillId="0" borderId="0" xfId="2" applyNumberFormat="1" applyFont="1" applyFill="1" applyAlignment="1">
      <alignment horizontal="center"/>
    </xf>
    <xf numFmtId="0" fontId="7" fillId="0" borderId="0" xfId="2" applyNumberFormat="1" applyFont="1" applyAlignment="1">
      <alignment horizontal="right"/>
    </xf>
    <xf numFmtId="43" fontId="7" fillId="0" borderId="0" xfId="2" applyFont="1" applyFill="1" applyAlignment="1">
      <alignment horizontal="center" vertical="center"/>
    </xf>
    <xf numFmtId="0" fontId="7" fillId="0" borderId="0" xfId="2" applyNumberFormat="1" applyFont="1" applyFill="1"/>
    <xf numFmtId="0" fontId="7" fillId="0" borderId="14" xfId="2" applyNumberFormat="1" applyFont="1" applyBorder="1" applyAlignment="1">
      <alignment horizontal="center"/>
    </xf>
    <xf numFmtId="0" fontId="7" fillId="0" borderId="15" xfId="2" applyNumberFormat="1" applyFont="1" applyBorder="1" applyAlignment="1">
      <alignment horizontal="center" vertical="center"/>
    </xf>
    <xf numFmtId="0" fontId="7" fillId="0" borderId="15" xfId="2" applyNumberFormat="1" applyFont="1" applyFill="1" applyBorder="1" applyAlignment="1">
      <alignment horizontal="center" vertical="center"/>
    </xf>
    <xf numFmtId="0" fontId="7" fillId="0" borderId="16" xfId="2" applyNumberFormat="1" applyFont="1" applyFill="1" applyBorder="1" applyAlignment="1">
      <alignment horizontal="center" vertical="center"/>
    </xf>
    <xf numFmtId="0" fontId="7" fillId="0" borderId="15" xfId="2" applyNumberFormat="1" applyFont="1" applyFill="1" applyBorder="1" applyAlignment="1">
      <alignment horizontal="right"/>
    </xf>
    <xf numFmtId="0" fontId="7" fillId="0" borderId="15" xfId="2" applyNumberFormat="1" applyFont="1" applyFill="1" applyBorder="1" applyAlignment="1">
      <alignment horizontal="center"/>
    </xf>
    <xf numFmtId="0" fontId="7" fillId="0" borderId="16" xfId="2" applyNumberFormat="1" applyFont="1" applyFill="1" applyBorder="1" applyAlignment="1">
      <alignment horizontal="center"/>
    </xf>
    <xf numFmtId="0" fontId="7" fillId="0" borderId="15" xfId="2" applyNumberFormat="1" applyFont="1" applyFill="1" applyBorder="1"/>
    <xf numFmtId="0" fontId="16" fillId="0" borderId="17" xfId="2" applyNumberFormat="1" applyFont="1" applyBorder="1"/>
    <xf numFmtId="0" fontId="16" fillId="0" borderId="0" xfId="2" applyNumberFormat="1" applyFont="1"/>
    <xf numFmtId="0" fontId="16" fillId="0" borderId="0" xfId="2" applyNumberFormat="1" applyFont="1" applyFill="1" applyAlignment="1">
      <alignment horizontal="center"/>
    </xf>
    <xf numFmtId="0" fontId="16" fillId="0" borderId="18" xfId="2" applyNumberFormat="1" applyFont="1" applyFill="1" applyBorder="1" applyAlignment="1">
      <alignment horizontal="center"/>
    </xf>
    <xf numFmtId="0" fontId="16" fillId="0" borderId="0" xfId="2" applyNumberFormat="1" applyFont="1" applyFill="1"/>
    <xf numFmtId="0" fontId="16" fillId="0" borderId="18" xfId="2" applyNumberFormat="1" applyFont="1" applyFill="1" applyBorder="1"/>
    <xf numFmtId="0" fontId="7" fillId="0" borderId="18" xfId="2" applyNumberFormat="1" applyFont="1" applyFill="1" applyBorder="1"/>
    <xf numFmtId="0" fontId="9" fillId="0" borderId="0" xfId="2" applyNumberFormat="1" applyFont="1" applyAlignment="1">
      <alignment horizontal="left"/>
    </xf>
    <xf numFmtId="0" fontId="7" fillId="0" borderId="17" xfId="2" applyNumberFormat="1" applyFont="1" applyBorder="1"/>
    <xf numFmtId="43" fontId="17" fillId="0" borderId="0" xfId="2" applyFont="1" applyFill="1"/>
    <xf numFmtId="43" fontId="17" fillId="0" borderId="18" xfId="2" applyFont="1" applyFill="1" applyBorder="1"/>
    <xf numFmtId="0" fontId="7" fillId="0" borderId="0" xfId="2" applyNumberFormat="1" applyFont="1" applyFill="1" applyAlignment="1">
      <alignment horizontal="center"/>
    </xf>
    <xf numFmtId="0" fontId="7" fillId="0" borderId="17" xfId="1" applyFont="1" applyBorder="1"/>
    <xf numFmtId="0" fontId="19" fillId="0" borderId="0" xfId="2" applyNumberFormat="1" applyFont="1" applyFill="1"/>
    <xf numFmtId="0" fontId="9" fillId="0" borderId="0" xfId="2" applyNumberFormat="1" applyFont="1" applyAlignment="1">
      <alignment horizontal="center"/>
    </xf>
    <xf numFmtId="0" fontId="7" fillId="0" borderId="0" xfId="2" applyNumberFormat="1" applyFont="1" applyAlignment="1">
      <alignment horizontal="center"/>
    </xf>
    <xf numFmtId="0" fontId="7" fillId="0" borderId="18" xfId="1" applyFont="1" applyBorder="1"/>
    <xf numFmtId="0" fontId="17" fillId="0" borderId="0" xfId="2" applyNumberFormat="1" applyFont="1" applyFill="1"/>
    <xf numFmtId="0" fontId="20" fillId="0" borderId="19" xfId="1" applyFont="1" applyBorder="1"/>
    <xf numFmtId="0" fontId="7" fillId="0" borderId="20" xfId="1" applyFont="1" applyBorder="1"/>
    <xf numFmtId="43" fontId="21" fillId="0" borderId="21" xfId="2" applyFont="1" applyFill="1" applyBorder="1"/>
    <xf numFmtId="0" fontId="20" fillId="0" borderId="20" xfId="1" applyFont="1" applyBorder="1"/>
    <xf numFmtId="0" fontId="7" fillId="0" borderId="20" xfId="2" applyNumberFormat="1" applyFont="1" applyFill="1" applyBorder="1" applyAlignment="1">
      <alignment horizontal="left"/>
    </xf>
    <xf numFmtId="0" fontId="22" fillId="0" borderId="22" xfId="2" applyNumberFormat="1" applyFont="1" applyBorder="1"/>
    <xf numFmtId="0" fontId="22" fillId="0" borderId="23" xfId="2" applyNumberFormat="1" applyFont="1" applyBorder="1"/>
    <xf numFmtId="0" fontId="8" fillId="0" borderId="23" xfId="2" applyNumberFormat="1" applyFont="1" applyFill="1" applyBorder="1"/>
    <xf numFmtId="43" fontId="23" fillId="0" borderId="24" xfId="2" applyFont="1" applyFill="1" applyBorder="1"/>
    <xf numFmtId="43" fontId="24" fillId="0" borderId="0" xfId="2" applyFont="1" applyFill="1"/>
    <xf numFmtId="0" fontId="20" fillId="0" borderId="25" xfId="2" applyNumberFormat="1" applyFont="1" applyFill="1" applyBorder="1"/>
    <xf numFmtId="43" fontId="25" fillId="0" borderId="26" xfId="2" applyFont="1" applyFill="1" applyBorder="1"/>
    <xf numFmtId="43" fontId="26" fillId="0" borderId="0" xfId="2" applyFont="1" applyFill="1"/>
    <xf numFmtId="43" fontId="9" fillId="0" borderId="0" xfId="2" applyFont="1" applyAlignment="1">
      <alignment horizontal="center"/>
    </xf>
    <xf numFmtId="43" fontId="9" fillId="0" borderId="0" xfId="2" applyFont="1"/>
    <xf numFmtId="0" fontId="22" fillId="0" borderId="17" xfId="2" applyNumberFormat="1" applyFont="1" applyBorder="1"/>
    <xf numFmtId="0" fontId="27" fillId="0" borderId="0" xfId="2" applyNumberFormat="1" applyFont="1"/>
    <xf numFmtId="43" fontId="19" fillId="0" borderId="0" xfId="2" applyFont="1" applyFill="1"/>
    <xf numFmtId="43" fontId="8" fillId="0" borderId="18" xfId="2" applyFont="1" applyFill="1" applyBorder="1"/>
    <xf numFmtId="43" fontId="8" fillId="0" borderId="0" xfId="2" applyFont="1" applyFill="1"/>
    <xf numFmtId="0" fontId="17" fillId="0" borderId="18" xfId="2" applyNumberFormat="1" applyFont="1" applyFill="1" applyBorder="1"/>
    <xf numFmtId="0" fontId="8" fillId="0" borderId="0" xfId="2" applyNumberFormat="1" applyFont="1" applyFill="1" applyAlignment="1">
      <alignment horizontal="left"/>
    </xf>
    <xf numFmtId="43" fontId="7" fillId="0" borderId="18" xfId="2" applyFont="1" applyFill="1" applyBorder="1"/>
    <xf numFmtId="0" fontId="28" fillId="0" borderId="27" xfId="2" applyNumberFormat="1" applyFont="1" applyFill="1" applyBorder="1"/>
    <xf numFmtId="43" fontId="28" fillId="0" borderId="28" xfId="2" applyFont="1" applyFill="1" applyBorder="1"/>
    <xf numFmtId="0" fontId="29" fillId="0" borderId="29" xfId="1" applyFont="1" applyBorder="1"/>
    <xf numFmtId="0" fontId="7" fillId="0" borderId="30" xfId="1" applyFont="1" applyBorder="1"/>
    <xf numFmtId="0" fontId="7" fillId="0" borderId="31" xfId="1" applyFont="1" applyBorder="1"/>
    <xf numFmtId="43" fontId="7" fillId="0" borderId="31" xfId="1" applyNumberFormat="1" applyFont="1" applyBorder="1"/>
    <xf numFmtId="0" fontId="1" fillId="0" borderId="0" xfId="2" applyNumberFormat="1" applyAlignment="1">
      <alignment horizontal="left" vertical="center"/>
    </xf>
    <xf numFmtId="43" fontId="1" fillId="0" borderId="0" xfId="2" applyAlignment="1">
      <alignment horizontal="center" vertical="center"/>
    </xf>
    <xf numFmtId="0" fontId="1" fillId="0" borderId="0" xfId="2" applyNumberFormat="1" applyFill="1" applyAlignment="1">
      <alignment horizontal="right"/>
    </xf>
    <xf numFmtId="0" fontId="1" fillId="0" borderId="0" xfId="2" applyNumberFormat="1" applyFill="1" applyAlignment="1">
      <alignment horizontal="left"/>
    </xf>
    <xf numFmtId="0" fontId="7" fillId="0" borderId="0" xfId="2" applyNumberFormat="1" applyFont="1" applyAlignment="1">
      <alignment horizontal="right" vertical="center"/>
    </xf>
    <xf numFmtId="43" fontId="7" fillId="0" borderId="0" xfId="2" applyFont="1" applyAlignment="1">
      <alignment horizontal="center" vertical="center"/>
    </xf>
    <xf numFmtId="165" fontId="7" fillId="0" borderId="0" xfId="1" applyNumberFormat="1" applyFont="1"/>
    <xf numFmtId="0" fontId="0" fillId="0" borderId="0" xfId="2" applyNumberFormat="1" applyFont="1" applyFill="1" applyAlignment="1">
      <alignment vertical="center"/>
    </xf>
    <xf numFmtId="0" fontId="29" fillId="0" borderId="0" xfId="1" applyFont="1"/>
    <xf numFmtId="43" fontId="7" fillId="0" borderId="0" xfId="1" applyNumberFormat="1" applyFont="1"/>
    <xf numFmtId="0" fontId="30" fillId="0" borderId="0" xfId="1" applyFont="1"/>
    <xf numFmtId="0" fontId="30" fillId="0" borderId="0" xfId="1" applyFont="1" applyAlignment="1">
      <alignment horizontal="right"/>
    </xf>
    <xf numFmtId="41" fontId="2" fillId="0" borderId="0" xfId="3" applyFont="1" applyAlignment="1">
      <alignment horizontal="center"/>
    </xf>
    <xf numFmtId="0" fontId="31" fillId="0" borderId="0" xfId="2" applyNumberFormat="1" applyFont="1"/>
    <xf numFmtId="0" fontId="2" fillId="0" borderId="0" xfId="2" applyNumberFormat="1" applyFont="1" applyAlignment="1">
      <alignment horizontal="center"/>
    </xf>
    <xf numFmtId="0" fontId="31" fillId="0" borderId="0" xfId="2" applyNumberFormat="1" applyFont="1" applyAlignment="1">
      <alignment horizontal="center"/>
    </xf>
    <xf numFmtId="0" fontId="31" fillId="0" borderId="0" xfId="2" applyNumberFormat="1" applyFont="1" applyAlignment="1">
      <alignment horizontal="left"/>
    </xf>
    <xf numFmtId="43" fontId="31" fillId="0" borderId="0" xfId="2" applyFont="1"/>
    <xf numFmtId="43" fontId="31" fillId="0" borderId="0" xfId="2" applyFont="1" applyAlignment="1">
      <alignment horizontal="center"/>
    </xf>
    <xf numFmtId="43" fontId="31" fillId="0" borderId="0" xfId="2" applyFont="1" applyAlignment="1">
      <alignment vertical="center"/>
    </xf>
    <xf numFmtId="43" fontId="31" fillId="0" borderId="0" xfId="2" applyFont="1" applyProtection="1">
      <protection hidden="1"/>
    </xf>
    <xf numFmtId="43" fontId="31" fillId="0" borderId="0" xfId="2" applyFont="1" applyAlignment="1" applyProtection="1">
      <alignment horizontal="center"/>
      <protection hidden="1"/>
    </xf>
    <xf numFmtId="43" fontId="31" fillId="0" borderId="0" xfId="2" applyFont="1" applyAlignment="1">
      <alignment horizontal="right"/>
    </xf>
    <xf numFmtId="43" fontId="32" fillId="0" borderId="0" xfId="2" applyFont="1" applyFill="1" applyAlignment="1">
      <alignment horizontal="right"/>
    </xf>
    <xf numFmtId="43" fontId="32" fillId="0" borderId="0" xfId="2" applyFont="1" applyFill="1"/>
    <xf numFmtId="43" fontId="31" fillId="0" borderId="0" xfId="2" applyFont="1" applyAlignment="1">
      <alignment horizontal="left"/>
    </xf>
    <xf numFmtId="167" fontId="2" fillId="0" borderId="0" xfId="2" applyNumberFormat="1" applyFont="1"/>
    <xf numFmtId="0" fontId="2" fillId="0" borderId="0" xfId="2" applyNumberFormat="1" applyFont="1"/>
    <xf numFmtId="43" fontId="2" fillId="0" borderId="0" xfId="2" applyFont="1"/>
    <xf numFmtId="43" fontId="31" fillId="0" borderId="0" xfId="2" applyFont="1" applyFill="1" applyBorder="1"/>
    <xf numFmtId="0" fontId="2" fillId="0" borderId="0" xfId="1" applyFont="1" applyAlignment="1">
      <alignment horizontal="center"/>
    </xf>
    <xf numFmtId="0" fontId="33" fillId="0" borderId="0" xfId="2" applyNumberFormat="1" applyFont="1"/>
    <xf numFmtId="43" fontId="2" fillId="0" borderId="0" xfId="2" applyFont="1" applyAlignment="1">
      <alignment horizontal="center"/>
    </xf>
    <xf numFmtId="43" fontId="34" fillId="0" borderId="0" xfId="2" applyFont="1" applyFill="1" applyAlignment="1">
      <alignment horizontal="left"/>
    </xf>
    <xf numFmtId="43" fontId="32" fillId="0" borderId="0" xfId="2" applyFont="1" applyFill="1" applyAlignment="1" applyProtection="1">
      <alignment horizontal="center"/>
      <protection hidden="1"/>
    </xf>
    <xf numFmtId="9" fontId="32" fillId="0" borderId="0" xfId="4" applyFont="1" applyFill="1" applyAlignment="1">
      <alignment horizontal="right"/>
    </xf>
    <xf numFmtId="9" fontId="32" fillId="0" borderId="0" xfId="4" applyFont="1" applyFill="1"/>
    <xf numFmtId="0" fontId="2" fillId="0" borderId="0" xfId="1" applyFont="1"/>
    <xf numFmtId="0" fontId="35" fillId="0" borderId="0" xfId="1" applyFont="1" applyAlignment="1" applyProtection="1">
      <alignment horizontal="center"/>
      <protection hidden="1"/>
    </xf>
    <xf numFmtId="43" fontId="36" fillId="0" borderId="0" xfId="2" applyFont="1" applyFill="1" applyAlignment="1" applyProtection="1">
      <protection hidden="1"/>
    </xf>
    <xf numFmtId="43" fontId="37" fillId="0" borderId="0" xfId="2" applyFont="1" applyFill="1" applyAlignment="1" applyProtection="1">
      <protection hidden="1"/>
    </xf>
    <xf numFmtId="43" fontId="34" fillId="0" borderId="0" xfId="2" applyFont="1" applyFill="1"/>
    <xf numFmtId="43" fontId="34" fillId="0" borderId="0" xfId="2" applyFont="1" applyFill="1" applyAlignment="1">
      <alignment horizontal="center"/>
    </xf>
    <xf numFmtId="43" fontId="2" fillId="9" borderId="0" xfId="2" applyFont="1" applyFill="1" applyAlignment="1">
      <alignment horizontal="center"/>
    </xf>
    <xf numFmtId="43" fontId="34" fillId="0" borderId="0" xfId="2" applyFont="1" applyFill="1" applyAlignment="1" applyProtection="1">
      <alignment horizontal="center"/>
      <protection hidden="1"/>
    </xf>
    <xf numFmtId="43" fontId="2" fillId="0" borderId="0" xfId="2" applyFont="1" applyFill="1"/>
    <xf numFmtId="43" fontId="2" fillId="0" borderId="0" xfId="2" applyFont="1" applyFill="1" applyBorder="1"/>
    <xf numFmtId="43" fontId="32" fillId="0" borderId="0" xfId="2" applyFont="1" applyFill="1" applyAlignment="1">
      <alignment horizontal="center"/>
    </xf>
    <xf numFmtId="43" fontId="32" fillId="0" borderId="0" xfId="2" applyFont="1" applyFill="1" applyProtection="1">
      <protection hidden="1"/>
    </xf>
    <xf numFmtId="12" fontId="32" fillId="0" borderId="0" xfId="4" applyNumberFormat="1" applyFont="1" applyFill="1"/>
    <xf numFmtId="168" fontId="31" fillId="0" borderId="0" xfId="2" applyNumberFormat="1" applyFont="1" applyAlignment="1">
      <alignment horizontal="center"/>
    </xf>
    <xf numFmtId="168" fontId="34" fillId="0" borderId="0" xfId="2" applyNumberFormat="1" applyFont="1" applyFill="1" applyAlignment="1">
      <alignment horizontal="left"/>
    </xf>
    <xf numFmtId="43" fontId="2" fillId="0" borderId="0" xfId="2" applyFont="1" applyFill="1" applyAlignment="1" applyProtection="1">
      <alignment horizontal="center"/>
      <protection hidden="1"/>
    </xf>
    <xf numFmtId="43" fontId="34" fillId="0" borderId="0" xfId="2" applyFont="1" applyFill="1" applyAlignment="1" applyProtection="1">
      <alignment horizontal="left"/>
      <protection hidden="1"/>
    </xf>
    <xf numFmtId="43" fontId="2" fillId="0" borderId="0" xfId="2" applyFont="1" applyAlignment="1">
      <alignment horizontal="left"/>
    </xf>
    <xf numFmtId="14" fontId="2" fillId="0" borderId="0" xfId="2" applyNumberFormat="1" applyFont="1" applyAlignment="1">
      <alignment horizontal="left"/>
    </xf>
    <xf numFmtId="14" fontId="2" fillId="0" borderId="0" xfId="2" applyNumberFormat="1" applyFont="1" applyFill="1" applyAlignment="1">
      <alignment horizontal="left"/>
    </xf>
    <xf numFmtId="14" fontId="31" fillId="0" borderId="0" xfId="2" applyNumberFormat="1" applyFont="1" applyAlignment="1">
      <alignment horizontal="center"/>
    </xf>
    <xf numFmtId="43" fontId="35" fillId="0" borderId="0" xfId="2" applyFont="1" applyAlignment="1">
      <alignment horizontal="center"/>
    </xf>
    <xf numFmtId="167" fontId="35" fillId="0" borderId="0" xfId="2" applyNumberFormat="1" applyFont="1" applyAlignment="1">
      <alignment horizontal="center"/>
    </xf>
    <xf numFmtId="40" fontId="2" fillId="0" borderId="0" xfId="2" applyNumberFormat="1" applyFont="1" applyAlignment="1">
      <alignment horizontal="center"/>
    </xf>
    <xf numFmtId="169" fontId="31" fillId="0" borderId="32" xfId="5" applyNumberFormat="1" applyFont="1" applyBorder="1"/>
    <xf numFmtId="169" fontId="31" fillId="0" borderId="0" xfId="5" applyNumberFormat="1" applyFont="1"/>
    <xf numFmtId="165" fontId="31" fillId="0" borderId="0" xfId="2" applyNumberFormat="1" applyFont="1"/>
    <xf numFmtId="165" fontId="31" fillId="8" borderId="33" xfId="2" applyNumberFormat="1" applyFont="1" applyFill="1" applyBorder="1"/>
    <xf numFmtId="41" fontId="35" fillId="0" borderId="0" xfId="3" applyFont="1" applyAlignment="1">
      <alignment horizontal="center"/>
    </xf>
    <xf numFmtId="0" fontId="38" fillId="2" borderId="0" xfId="2" applyNumberFormat="1" applyFont="1" applyFill="1"/>
    <xf numFmtId="0" fontId="38" fillId="2" borderId="0" xfId="2" applyNumberFormat="1" applyFont="1" applyFill="1" applyAlignment="1">
      <alignment horizontal="center"/>
    </xf>
    <xf numFmtId="0" fontId="35" fillId="2" borderId="0" xfId="2" applyNumberFormat="1" applyFont="1" applyFill="1" applyAlignment="1">
      <alignment horizontal="center"/>
    </xf>
    <xf numFmtId="0" fontId="35" fillId="2" borderId="0" xfId="2" applyNumberFormat="1" applyFont="1" applyFill="1" applyAlignment="1">
      <alignment horizontal="center" vertical="center"/>
    </xf>
    <xf numFmtId="43" fontId="38" fillId="0" borderId="0" xfId="2" applyFont="1" applyFill="1" applyBorder="1"/>
    <xf numFmtId="0" fontId="2" fillId="0" borderId="34" xfId="1" applyFont="1" applyBorder="1" applyAlignment="1">
      <alignment wrapText="1"/>
    </xf>
    <xf numFmtId="0" fontId="2" fillId="0" borderId="34" xfId="1" applyFont="1" applyBorder="1" applyAlignment="1">
      <alignment horizontal="center"/>
    </xf>
    <xf numFmtId="43" fontId="2" fillId="0" borderId="34" xfId="2" applyFont="1" applyBorder="1" applyAlignment="1">
      <alignment horizontal="center"/>
    </xf>
    <xf numFmtId="43" fontId="2" fillId="0" borderId="34" xfId="2" applyFont="1" applyBorder="1"/>
    <xf numFmtId="43" fontId="2" fillId="0" borderId="34" xfId="2" applyFont="1" applyBorder="1" applyAlignment="1">
      <alignment vertical="center"/>
    </xf>
    <xf numFmtId="0" fontId="2" fillId="0" borderId="34" xfId="1" applyFont="1" applyBorder="1" applyAlignment="1">
      <alignment horizontal="center" wrapText="1"/>
    </xf>
    <xf numFmtId="0" fontId="2" fillId="0" borderId="1" xfId="1" applyFont="1" applyBorder="1" applyAlignment="1">
      <alignment wrapText="1"/>
    </xf>
    <xf numFmtId="43" fontId="2" fillId="0" borderId="19" xfId="2" applyFont="1" applyBorder="1" applyAlignment="1" applyProtection="1">
      <alignment horizontal="center"/>
      <protection hidden="1"/>
    </xf>
    <xf numFmtId="43" fontId="2" fillId="2" borderId="3" xfId="2" applyFont="1" applyFill="1" applyBorder="1" applyAlignment="1">
      <alignment horizontal="center" vertical="center"/>
    </xf>
    <xf numFmtId="43" fontId="2" fillId="4" borderId="5" xfId="2" applyFont="1" applyFill="1" applyBorder="1" applyAlignment="1">
      <alignment horizontal="center"/>
    </xf>
    <xf numFmtId="43" fontId="2" fillId="4" borderId="6" xfId="2" applyFont="1" applyFill="1" applyBorder="1" applyAlignment="1">
      <alignment horizontal="center"/>
    </xf>
    <xf numFmtId="43" fontId="2" fillId="0" borderId="2" xfId="2" applyFont="1" applyBorder="1" applyAlignment="1">
      <alignment horizontal="center"/>
    </xf>
    <xf numFmtId="43" fontId="2" fillId="0" borderId="3" xfId="2" applyFont="1" applyBorder="1" applyAlignment="1">
      <alignment horizontal="center"/>
    </xf>
    <xf numFmtId="43" fontId="2" fillId="4" borderId="5" xfId="2" applyFont="1" applyFill="1" applyBorder="1" applyAlignment="1">
      <alignment horizontal="center" wrapText="1"/>
    </xf>
    <xf numFmtId="167" fontId="2" fillId="4" borderId="5" xfId="2" applyNumberFormat="1" applyFont="1" applyFill="1" applyBorder="1" applyAlignment="1">
      <alignment horizontal="center"/>
    </xf>
    <xf numFmtId="167" fontId="2" fillId="0" borderId="0" xfId="2" applyNumberFormat="1" applyFont="1" applyAlignment="1">
      <alignment horizontal="center"/>
    </xf>
    <xf numFmtId="43" fontId="2" fillId="10" borderId="0" xfId="2" applyFont="1" applyFill="1"/>
    <xf numFmtId="43" fontId="31" fillId="11" borderId="0" xfId="2" applyFont="1" applyFill="1"/>
    <xf numFmtId="43" fontId="31" fillId="12" borderId="0" xfId="2" applyFont="1" applyFill="1"/>
    <xf numFmtId="43" fontId="31" fillId="8" borderId="0" xfId="2" applyFont="1" applyFill="1"/>
    <xf numFmtId="43" fontId="2" fillId="8" borderId="0" xfId="2" applyFont="1" applyFill="1"/>
    <xf numFmtId="43" fontId="2" fillId="5" borderId="0" xfId="2" applyFont="1" applyFill="1"/>
    <xf numFmtId="43" fontId="31" fillId="5" borderId="0" xfId="2" applyFont="1" applyFill="1"/>
    <xf numFmtId="43" fontId="2" fillId="10" borderId="0" xfId="2" applyFont="1" applyFill="1" applyAlignment="1">
      <alignment horizontal="center"/>
    </xf>
    <xf numFmtId="43" fontId="31" fillId="13" borderId="0" xfId="2" applyFont="1" applyFill="1"/>
    <xf numFmtId="41" fontId="2" fillId="0" borderId="0" xfId="3" applyFont="1" applyAlignment="1">
      <alignment horizontal="center" vertical="center" wrapText="1"/>
    </xf>
    <xf numFmtId="0" fontId="2" fillId="0" borderId="34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/>
    </xf>
    <xf numFmtId="43" fontId="2" fillId="0" borderId="34" xfId="2" applyFont="1" applyBorder="1" applyAlignment="1">
      <alignment horizontal="center" vertical="center"/>
    </xf>
    <xf numFmtId="43" fontId="2" fillId="0" borderId="34" xfId="2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43" fontId="35" fillId="0" borderId="19" xfId="2" applyFont="1" applyBorder="1" applyAlignment="1" applyProtection="1">
      <alignment horizontal="center" vertical="center" wrapText="1"/>
      <protection hidden="1"/>
    </xf>
    <xf numFmtId="43" fontId="2" fillId="5" borderId="7" xfId="2" applyFont="1" applyFill="1" applyBorder="1" applyAlignment="1">
      <alignment horizontal="center" vertical="center" wrapText="1"/>
    </xf>
    <xf numFmtId="43" fontId="2" fillId="5" borderId="8" xfId="2" applyFont="1" applyFill="1" applyBorder="1" applyAlignment="1" applyProtection="1">
      <alignment horizontal="center" vertical="center" wrapText="1"/>
      <protection hidden="1"/>
    </xf>
    <xf numFmtId="43" fontId="2" fillId="5" borderId="8" xfId="2" applyFont="1" applyFill="1" applyBorder="1" applyAlignment="1">
      <alignment horizontal="center" vertical="center" wrapText="1"/>
    </xf>
    <xf numFmtId="43" fontId="3" fillId="6" borderId="8" xfId="2" applyFont="1" applyFill="1" applyBorder="1" applyAlignment="1">
      <alignment horizontal="center" vertical="center" wrapText="1"/>
    </xf>
    <xf numFmtId="43" fontId="3" fillId="6" borderId="9" xfId="2" applyFont="1" applyFill="1" applyBorder="1" applyAlignment="1">
      <alignment horizontal="center" vertical="center" wrapText="1"/>
    </xf>
    <xf numFmtId="43" fontId="2" fillId="7" borderId="9" xfId="2" applyFont="1" applyFill="1" applyBorder="1" applyAlignment="1">
      <alignment horizontal="center" vertical="center" wrapText="1"/>
    </xf>
    <xf numFmtId="43" fontId="2" fillId="7" borderId="10" xfId="2" applyFont="1" applyFill="1" applyBorder="1" applyAlignment="1">
      <alignment horizontal="center" vertical="center" wrapText="1"/>
    </xf>
    <xf numFmtId="43" fontId="3" fillId="7" borderId="8" xfId="2" applyFont="1" applyFill="1" applyBorder="1" applyAlignment="1">
      <alignment horizontal="center" vertical="center" wrapText="1"/>
    </xf>
    <xf numFmtId="43" fontId="3" fillId="7" borderId="9" xfId="2" applyFont="1" applyFill="1" applyBorder="1" applyAlignment="1">
      <alignment horizontal="center" vertical="center" wrapText="1"/>
    </xf>
    <xf numFmtId="43" fontId="2" fillId="2" borderId="10" xfId="2" applyFont="1" applyFill="1" applyBorder="1" applyAlignment="1">
      <alignment horizontal="center" vertical="center" wrapText="1"/>
    </xf>
    <xf numFmtId="39" fontId="2" fillId="5" borderId="11" xfId="2" applyNumberFormat="1" applyFont="1" applyFill="1" applyBorder="1" applyAlignment="1">
      <alignment horizontal="center" vertical="center" wrapText="1"/>
    </xf>
    <xf numFmtId="43" fontId="2" fillId="7" borderId="10" xfId="2" applyFont="1" applyFill="1" applyBorder="1" applyAlignment="1">
      <alignment horizontal="center" vertical="center"/>
    </xf>
    <xf numFmtId="43" fontId="2" fillId="7" borderId="12" xfId="2" applyFont="1" applyFill="1" applyBorder="1" applyAlignment="1">
      <alignment horizontal="center" vertical="center" wrapText="1"/>
    </xf>
    <xf numFmtId="43" fontId="2" fillId="0" borderId="13" xfId="2" applyFont="1" applyBorder="1" applyAlignment="1">
      <alignment horizontal="center" vertical="center" wrapText="1"/>
    </xf>
    <xf numFmtId="43" fontId="2" fillId="0" borderId="10" xfId="2" applyFont="1" applyBorder="1" applyAlignment="1">
      <alignment horizontal="center" vertical="center" wrapText="1"/>
    </xf>
    <xf numFmtId="43" fontId="2" fillId="8" borderId="10" xfId="2" applyFont="1" applyFill="1" applyBorder="1" applyAlignment="1">
      <alignment horizontal="center" vertical="center" wrapText="1"/>
    </xf>
    <xf numFmtId="43" fontId="2" fillId="0" borderId="10" xfId="2" applyFont="1" applyFill="1" applyBorder="1" applyAlignment="1">
      <alignment horizontal="center" vertical="center" wrapText="1"/>
    </xf>
    <xf numFmtId="43" fontId="2" fillId="4" borderId="35" xfId="2" applyFont="1" applyFill="1" applyBorder="1" applyAlignment="1">
      <alignment horizontal="center" vertical="center" wrapText="1"/>
    </xf>
    <xf numFmtId="167" fontId="2" fillId="0" borderId="35" xfId="2" applyNumberFormat="1" applyFont="1" applyBorder="1" applyAlignment="1">
      <alignment horizontal="center" vertical="center" wrapText="1"/>
    </xf>
    <xf numFmtId="43" fontId="2" fillId="0" borderId="35" xfId="2" applyFont="1" applyBorder="1" applyAlignment="1">
      <alignment horizontal="center" vertical="center" wrapText="1"/>
    </xf>
    <xf numFmtId="43" fontId="2" fillId="5" borderId="0" xfId="2" applyFont="1" applyFill="1" applyAlignment="1">
      <alignment horizontal="center" vertical="center" wrapText="1"/>
    </xf>
    <xf numFmtId="41" fontId="2" fillId="5" borderId="0" xfId="3" applyFont="1" applyFill="1" applyAlignment="1">
      <alignment horizontal="center" vertical="center" wrapText="1"/>
    </xf>
    <xf numFmtId="0" fontId="2" fillId="0" borderId="6" xfId="2" applyNumberFormat="1" applyFont="1" applyBorder="1" applyAlignment="1">
      <alignment horizontal="center" wrapText="1"/>
    </xf>
    <xf numFmtId="0" fontId="2" fillId="0" borderId="36" xfId="2" applyNumberFormat="1" applyFont="1" applyBorder="1" applyAlignment="1">
      <alignment horizontal="center" wrapText="1"/>
    </xf>
    <xf numFmtId="43" fontId="2" fillId="2" borderId="37" xfId="2" applyFont="1" applyFill="1" applyBorder="1" applyAlignment="1">
      <alignment vertical="center" wrapText="1"/>
    </xf>
    <xf numFmtId="43" fontId="31" fillId="9" borderId="21" xfId="2" applyFont="1" applyFill="1" applyBorder="1" applyAlignment="1">
      <alignment horizontal="center" vertical="center" wrapText="1"/>
    </xf>
    <xf numFmtId="43" fontId="2" fillId="2" borderId="19" xfId="2" applyFont="1" applyFill="1" applyBorder="1" applyAlignment="1">
      <alignment horizontal="center" vertical="center" wrapText="1"/>
    </xf>
    <xf numFmtId="43" fontId="2" fillId="0" borderId="37" xfId="2" applyFont="1" applyBorder="1" applyAlignment="1">
      <alignment horizontal="center" vertical="center" wrapText="1"/>
    </xf>
    <xf numFmtId="43" fontId="31" fillId="11" borderId="38" xfId="2" applyFont="1" applyFill="1" applyBorder="1" applyAlignment="1">
      <alignment horizontal="center" vertical="center" wrapText="1"/>
    </xf>
    <xf numFmtId="43" fontId="31" fillId="11" borderId="39" xfId="2" applyFont="1" applyFill="1" applyBorder="1" applyAlignment="1">
      <alignment horizontal="center" vertical="center" wrapText="1"/>
    </xf>
    <xf numFmtId="0" fontId="2" fillId="11" borderId="40" xfId="1" applyFont="1" applyFill="1" applyBorder="1" applyAlignment="1">
      <alignment horizontal="center" vertical="center" wrapText="1"/>
    </xf>
    <xf numFmtId="43" fontId="31" fillId="14" borderId="39" xfId="2" applyFont="1" applyFill="1" applyBorder="1" applyAlignment="1">
      <alignment horizontal="center" vertical="center" wrapText="1"/>
    </xf>
    <xf numFmtId="0" fontId="2" fillId="14" borderId="40" xfId="1" applyFont="1" applyFill="1" applyBorder="1" applyAlignment="1">
      <alignment horizontal="center" vertical="center" wrapText="1"/>
    </xf>
    <xf numFmtId="43" fontId="31" fillId="8" borderId="41" xfId="2" applyFont="1" applyFill="1" applyBorder="1" applyAlignment="1">
      <alignment horizontal="center" vertical="center" wrapText="1"/>
    </xf>
    <xf numFmtId="43" fontId="31" fillId="8" borderId="39" xfId="2" applyFont="1" applyFill="1" applyBorder="1" applyAlignment="1">
      <alignment horizontal="center" vertical="center" wrapText="1"/>
    </xf>
    <xf numFmtId="43" fontId="2" fillId="8" borderId="4" xfId="2" applyFont="1" applyFill="1" applyBorder="1" applyAlignment="1">
      <alignment horizontal="center" vertical="center" wrapText="1"/>
    </xf>
    <xf numFmtId="43" fontId="2" fillId="8" borderId="3" xfId="2" applyFont="1" applyFill="1" applyBorder="1" applyAlignment="1">
      <alignment horizontal="center" vertical="center" wrapText="1"/>
    </xf>
    <xf numFmtId="43" fontId="2" fillId="5" borderId="42" xfId="2" applyFont="1" applyFill="1" applyBorder="1" applyAlignment="1">
      <alignment horizontal="center" vertical="center" wrapText="1"/>
    </xf>
    <xf numFmtId="43" fontId="2" fillId="2" borderId="1" xfId="2" applyFont="1" applyFill="1" applyBorder="1" applyAlignment="1">
      <alignment horizontal="center" vertical="center" wrapText="1"/>
    </xf>
    <xf numFmtId="0" fontId="2" fillId="15" borderId="1" xfId="2" applyNumberFormat="1" applyFont="1" applyFill="1" applyBorder="1" applyAlignment="1">
      <alignment horizontal="center" vertical="center" wrapText="1"/>
    </xf>
    <xf numFmtId="0" fontId="2" fillId="15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0" borderId="43" xfId="2" applyNumberFormat="1" applyFont="1" applyBorder="1" applyAlignment="1">
      <alignment horizontal="center" wrapText="1"/>
    </xf>
    <xf numFmtId="0" fontId="2" fillId="8" borderId="36" xfId="2" applyNumberFormat="1" applyFont="1" applyFill="1" applyBorder="1" applyAlignment="1">
      <alignment horizontal="center" wrapText="1"/>
    </xf>
    <xf numFmtId="43" fontId="31" fillId="0" borderId="37" xfId="2" applyFont="1" applyBorder="1" applyAlignment="1">
      <alignment horizontal="center" vertical="center" wrapText="1"/>
    </xf>
    <xf numFmtId="43" fontId="2" fillId="0" borderId="0" xfId="2" applyFont="1" applyAlignment="1">
      <alignment vertical="center" wrapText="1"/>
    </xf>
    <xf numFmtId="43" fontId="31" fillId="0" borderId="0" xfId="2" applyFont="1" applyAlignment="1">
      <alignment vertical="center" wrapText="1"/>
    </xf>
    <xf numFmtId="43" fontId="31" fillId="16" borderId="0" xfId="2" applyFont="1" applyFill="1" applyAlignment="1">
      <alignment vertical="center" wrapText="1"/>
    </xf>
    <xf numFmtId="43" fontId="31" fillId="0" borderId="0" xfId="2" applyFont="1" applyFill="1" applyBorder="1" applyAlignment="1">
      <alignment vertical="center" wrapText="1"/>
    </xf>
    <xf numFmtId="41" fontId="2" fillId="0" borderId="0" xfId="3" applyFont="1" applyFill="1" applyAlignment="1">
      <alignment horizontal="center"/>
    </xf>
    <xf numFmtId="0" fontId="31" fillId="0" borderId="1" xfId="1" quotePrefix="1" applyFont="1" applyBorder="1" applyAlignment="1">
      <alignment horizontal="right"/>
    </xf>
    <xf numFmtId="0" fontId="31" fillId="0" borderId="1" xfId="1" applyFont="1" applyBorder="1" applyAlignment="1">
      <alignment horizontal="center"/>
    </xf>
    <xf numFmtId="0" fontId="31" fillId="0" borderId="1" xfId="2" applyNumberFormat="1" applyFont="1" applyFill="1" applyBorder="1" applyAlignment="1">
      <alignment horizontal="center"/>
    </xf>
    <xf numFmtId="43" fontId="31" fillId="0" borderId="1" xfId="2" applyFont="1" applyFill="1" applyBorder="1"/>
    <xf numFmtId="168" fontId="31" fillId="0" borderId="29" xfId="2" applyNumberFormat="1" applyFont="1" applyBorder="1" applyAlignment="1">
      <alignment horizontal="center"/>
    </xf>
    <xf numFmtId="170" fontId="31" fillId="0" borderId="1" xfId="2" applyNumberFormat="1" applyFont="1" applyFill="1" applyBorder="1" applyAlignment="1">
      <alignment horizontal="center"/>
    </xf>
    <xf numFmtId="43" fontId="31" fillId="0" borderId="1" xfId="2" applyFont="1" applyFill="1" applyBorder="1" applyAlignment="1">
      <alignment vertical="center"/>
    </xf>
    <xf numFmtId="43" fontId="31" fillId="0" borderId="1" xfId="2" applyFont="1" applyBorder="1" applyAlignment="1">
      <alignment horizontal="center"/>
    </xf>
    <xf numFmtId="43" fontId="31" fillId="0" borderId="1" xfId="2" applyFont="1" applyFill="1" applyBorder="1" applyAlignment="1">
      <alignment horizontal="right"/>
    </xf>
    <xf numFmtId="43" fontId="2" fillId="0" borderId="21" xfId="2" applyFont="1" applyBorder="1"/>
    <xf numFmtId="43" fontId="31" fillId="0" borderId="1" xfId="2" applyFont="1" applyFill="1" applyBorder="1" applyProtection="1">
      <protection hidden="1"/>
    </xf>
    <xf numFmtId="43" fontId="2" fillId="0" borderId="1" xfId="2" applyFont="1" applyFill="1" applyBorder="1"/>
    <xf numFmtId="43" fontId="31" fillId="0" borderId="1" xfId="2" applyFont="1" applyBorder="1"/>
    <xf numFmtId="171" fontId="31" fillId="0" borderId="1" xfId="3" applyNumberFormat="1" applyFont="1" applyFill="1" applyBorder="1"/>
    <xf numFmtId="0" fontId="31" fillId="0" borderId="0" xfId="2" applyNumberFormat="1" applyFont="1" applyFill="1" applyAlignment="1">
      <alignment horizontal="center"/>
    </xf>
    <xf numFmtId="43" fontId="31" fillId="0" borderId="44" xfId="2" applyFont="1" applyFill="1" applyBorder="1"/>
    <xf numFmtId="0" fontId="31" fillId="0" borderId="45" xfId="2" applyNumberFormat="1" applyFont="1" applyFill="1" applyBorder="1"/>
    <xf numFmtId="43" fontId="31" fillId="0" borderId="45" xfId="2" applyFont="1" applyFill="1" applyBorder="1"/>
    <xf numFmtId="43" fontId="2" fillId="0" borderId="46" xfId="2" applyFont="1" applyFill="1" applyBorder="1"/>
    <xf numFmtId="43" fontId="31" fillId="0" borderId="48" xfId="2" applyFont="1" applyFill="1" applyBorder="1"/>
    <xf numFmtId="43" fontId="2" fillId="0" borderId="33" xfId="2" applyFont="1" applyFill="1" applyBorder="1"/>
    <xf numFmtId="43" fontId="31" fillId="0" borderId="32" xfId="2" applyFont="1" applyFill="1" applyBorder="1"/>
    <xf numFmtId="43" fontId="31" fillId="0" borderId="0" xfId="2" applyFont="1" applyFill="1"/>
    <xf numFmtId="43" fontId="31" fillId="0" borderId="33" xfId="2" applyFont="1" applyFill="1" applyBorder="1"/>
    <xf numFmtId="171" fontId="31" fillId="0" borderId="1" xfId="3" applyNumberFormat="1" applyFont="1" applyFill="1" applyBorder="1" applyAlignment="1">
      <alignment horizontal="center" vertical="center"/>
    </xf>
    <xf numFmtId="171" fontId="2" fillId="0" borderId="1" xfId="3" applyNumberFormat="1" applyFont="1" applyFill="1" applyBorder="1" applyAlignment="1">
      <alignment horizontal="center" vertical="center"/>
    </xf>
    <xf numFmtId="43" fontId="2" fillId="0" borderId="0" xfId="2" applyFont="1" applyFill="1" applyBorder="1" applyAlignment="1">
      <alignment horizontal="center"/>
    </xf>
    <xf numFmtId="43" fontId="39" fillId="0" borderId="0" xfId="2" applyFont="1"/>
    <xf numFmtId="43" fontId="2" fillId="0" borderId="0" xfId="2" applyFont="1" applyFill="1" applyAlignment="1">
      <alignment horizontal="center"/>
    </xf>
    <xf numFmtId="43" fontId="31" fillId="0" borderId="1" xfId="2" applyFont="1" applyFill="1" applyBorder="1" applyAlignment="1">
      <alignment horizontal="center"/>
    </xf>
    <xf numFmtId="41" fontId="40" fillId="0" borderId="0" xfId="3" applyFont="1" applyAlignment="1">
      <alignment horizontal="center"/>
    </xf>
    <xf numFmtId="0" fontId="1" fillId="0" borderId="0" xfId="2" applyNumberFormat="1" applyFont="1"/>
    <xf numFmtId="0" fontId="1" fillId="0" borderId="0" xfId="2" applyNumberFormat="1" applyFont="1" applyAlignment="1">
      <alignment horizontal="center"/>
    </xf>
    <xf numFmtId="43" fontId="1" fillId="0" borderId="0" xfId="2" applyFont="1" applyAlignment="1">
      <alignment horizontal="left"/>
    </xf>
    <xf numFmtId="43" fontId="1" fillId="0" borderId="0" xfId="2" applyFont="1"/>
    <xf numFmtId="43" fontId="1" fillId="0" borderId="0" xfId="2" applyFont="1" applyAlignment="1">
      <alignment horizontal="center"/>
    </xf>
    <xf numFmtId="43" fontId="40" fillId="0" borderId="0" xfId="2" applyFont="1" applyAlignment="1">
      <alignment horizontal="center"/>
    </xf>
    <xf numFmtId="43" fontId="40" fillId="0" borderId="0" xfId="2" applyFont="1" applyProtection="1">
      <protection hidden="1"/>
    </xf>
    <xf numFmtId="43" fontId="40" fillId="0" borderId="0" xfId="2" applyFont="1" applyAlignment="1">
      <alignment horizontal="right"/>
    </xf>
    <xf numFmtId="43" fontId="40" fillId="0" borderId="0" xfId="2" applyFont="1"/>
    <xf numFmtId="43" fontId="40" fillId="0" borderId="0" xfId="2" applyFont="1" applyAlignment="1">
      <alignment horizontal="left"/>
    </xf>
    <xf numFmtId="43" fontId="40" fillId="0" borderId="0" xfId="2" applyFont="1" applyFill="1" applyAlignment="1">
      <alignment horizontal="right"/>
    </xf>
    <xf numFmtId="43" fontId="40" fillId="0" borderId="0" xfId="2" applyFont="1" applyFill="1" applyAlignment="1">
      <alignment horizontal="left"/>
    </xf>
    <xf numFmtId="167" fontId="1" fillId="0" borderId="0" xfId="2" applyNumberFormat="1" applyFont="1"/>
    <xf numFmtId="167" fontId="40" fillId="0" borderId="0" xfId="2" applyNumberFormat="1" applyFont="1" applyAlignment="1">
      <alignment horizontal="right"/>
    </xf>
    <xf numFmtId="0" fontId="40" fillId="0" borderId="0" xfId="2" applyNumberFormat="1" applyFont="1" applyAlignment="1">
      <alignment horizontal="center"/>
    </xf>
    <xf numFmtId="0" fontId="40" fillId="0" borderId="0" xfId="2" applyNumberFormat="1" applyFont="1"/>
    <xf numFmtId="43" fontId="40" fillId="0" borderId="0" xfId="2" applyFont="1" applyFill="1" applyBorder="1"/>
    <xf numFmtId="43" fontId="1" fillId="0" borderId="0" xfId="2" applyFont="1" applyFill="1" applyBorder="1"/>
    <xf numFmtId="43" fontId="1" fillId="0" borderId="0" xfId="2" applyFont="1" applyProtection="1">
      <protection hidden="1"/>
    </xf>
    <xf numFmtId="43" fontId="1" fillId="0" borderId="0" xfId="2" applyFont="1" applyAlignment="1">
      <alignment horizontal="right"/>
    </xf>
    <xf numFmtId="43" fontId="31" fillId="0" borderId="0" xfId="2" applyFont="1" applyAlignment="1" applyProtection="1">
      <alignment horizontal="left"/>
      <protection hidden="1"/>
    </xf>
    <xf numFmtId="43" fontId="31" fillId="0" borderId="0" xfId="2" applyFont="1" applyAlignment="1" applyProtection="1">
      <alignment horizontal="right"/>
      <protection hidden="1"/>
    </xf>
    <xf numFmtId="0" fontId="31" fillId="0" borderId="0" xfId="1" applyFont="1" applyAlignment="1">
      <alignment horizontal="center"/>
    </xf>
    <xf numFmtId="43" fontId="31" fillId="0" borderId="0" xfId="2" applyFont="1" applyFill="1" applyBorder="1" applyAlignment="1">
      <alignment horizontal="left"/>
    </xf>
    <xf numFmtId="0" fontId="31" fillId="0" borderId="0" xfId="2" applyNumberFormat="1" applyFont="1" applyFill="1" applyBorder="1" applyAlignment="1">
      <alignment horizontal="center"/>
    </xf>
    <xf numFmtId="43" fontId="31" fillId="0" borderId="0" xfId="2" applyFont="1" applyFill="1" applyAlignment="1">
      <alignment horizontal="right"/>
    </xf>
    <xf numFmtId="0" fontId="2" fillId="11" borderId="40" xfId="0" applyFont="1" applyFill="1" applyBorder="1" applyAlignment="1">
      <alignment horizontal="center" vertical="center" wrapText="1"/>
    </xf>
    <xf numFmtId="0" fontId="31" fillId="14" borderId="41" xfId="0" applyFont="1" applyFill="1" applyBorder="1" applyAlignment="1">
      <alignment horizontal="center" vertical="center" wrapText="1"/>
    </xf>
    <xf numFmtId="0" fontId="2" fillId="14" borderId="40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3" fontId="2" fillId="0" borderId="47" xfId="0" applyNumberFormat="1" applyFont="1" applyBorder="1"/>
    <xf numFmtId="0" fontId="31" fillId="0" borderId="0" xfId="2" quotePrefix="1" applyNumberFormat="1" applyFont="1" applyFill="1" applyBorder="1" applyAlignment="1">
      <alignment horizontal="left"/>
    </xf>
    <xf numFmtId="43" fontId="2" fillId="0" borderId="2" xfId="2" applyFont="1" applyBorder="1" applyAlignment="1">
      <alignment horizontal="center"/>
    </xf>
    <xf numFmtId="43" fontId="2" fillId="0" borderId="3" xfId="2" applyFont="1" applyBorder="1" applyAlignment="1">
      <alignment horizontal="center"/>
    </xf>
    <xf numFmtId="43" fontId="2" fillId="0" borderId="4" xfId="2" applyFont="1" applyBorder="1" applyAlignment="1">
      <alignment horizontal="center"/>
    </xf>
    <xf numFmtId="43" fontId="2" fillId="2" borderId="2" xfId="2" applyFont="1" applyFill="1" applyBorder="1" applyAlignment="1">
      <alignment horizontal="center" vertical="center"/>
    </xf>
    <xf numFmtId="43" fontId="2" fillId="2" borderId="3" xfId="2" applyFont="1" applyFill="1" applyBorder="1" applyAlignment="1">
      <alignment horizontal="center" vertical="center"/>
    </xf>
    <xf numFmtId="43" fontId="2" fillId="3" borderId="3" xfId="2" applyFont="1" applyFill="1" applyBorder="1" applyAlignment="1">
      <alignment horizontal="center" vertical="center"/>
    </xf>
    <xf numFmtId="43" fontId="2" fillId="2" borderId="4" xfId="2" applyFont="1" applyFill="1" applyBorder="1" applyAlignment="1">
      <alignment horizontal="center" vertical="center"/>
    </xf>
    <xf numFmtId="43" fontId="2" fillId="4" borderId="2" xfId="2" applyFont="1" applyFill="1" applyBorder="1" applyAlignment="1" applyProtection="1">
      <alignment horizontal="center"/>
      <protection hidden="1"/>
    </xf>
    <xf numFmtId="43" fontId="2" fillId="4" borderId="3" xfId="2" applyFont="1" applyFill="1" applyBorder="1" applyAlignment="1" applyProtection="1">
      <alignment horizontal="center"/>
      <protection hidden="1"/>
    </xf>
    <xf numFmtId="43" fontId="2" fillId="4" borderId="4" xfId="2" applyFont="1" applyFill="1" applyBorder="1" applyAlignment="1" applyProtection="1">
      <alignment horizontal="center"/>
      <protection hidden="1"/>
    </xf>
    <xf numFmtId="43" fontId="2" fillId="4" borderId="2" xfId="2" applyFont="1" applyFill="1" applyBorder="1" applyAlignment="1">
      <alignment horizontal="center" wrapText="1"/>
    </xf>
    <xf numFmtId="43" fontId="2" fillId="4" borderId="3" xfId="2" applyFont="1" applyFill="1" applyBorder="1" applyAlignment="1">
      <alignment horizontal="center" wrapText="1"/>
    </xf>
    <xf numFmtId="43" fontId="2" fillId="4" borderId="4" xfId="2" applyFont="1" applyFill="1" applyBorder="1" applyAlignment="1">
      <alignment horizontal="center" wrapText="1"/>
    </xf>
  </cellXfs>
  <cellStyles count="7">
    <cellStyle name="Comma [0] 2" xfId="3" xr:uid="{18456293-CCE4-4E61-9AA7-B9955828DF03}"/>
    <cellStyle name="Comma [0] 5" xfId="5" xr:uid="{F3FED88D-149B-4A67-8A87-D8A0340FA6E9}"/>
    <cellStyle name="Comma 2" xfId="2" xr:uid="{05DFE594-F92E-4E84-BEE9-755B7E7BE08A}"/>
    <cellStyle name="Currency 2" xfId="6" xr:uid="{0785D3FE-53F5-4AC3-9A00-72D0C3CD2D3B}"/>
    <cellStyle name="Normal" xfId="0" builtinId="0"/>
    <cellStyle name="Normal 2" xfId="1" xr:uid="{7B84F57C-EC83-4804-A1AE-435D54A7521B}"/>
    <cellStyle name="Percent 2" xfId="4" xr:uid="{09237166-CA7E-47A7-AD16-6CEE8CF850C1}"/>
  </cellStyles>
  <dxfs count="9">
    <dxf>
      <font>
        <color theme="0" tint="-4.9989318521683403E-2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indexed="46"/>
        </patternFill>
      </fill>
    </dxf>
    <dxf>
      <fill>
        <patternFill>
          <bgColor indexed="11"/>
        </patternFill>
      </fill>
    </dxf>
    <dxf>
      <fill>
        <patternFill>
          <bgColor indexed="46"/>
        </patternFill>
      </fill>
    </dxf>
    <dxf>
      <fill>
        <patternFill>
          <bgColor indexed="1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osp2157\Desktop\2023%2008.%20August%2030%20Payroll%20-%20Rank%20and%20File.xlsx" TargetMode="External"/><Relationship Id="rId1" Type="http://schemas.openxmlformats.org/officeDocument/2006/relationships/externalLinkPath" Target="/Users/fosp2157/Desktop/2023%2008.%20August%2030%20Payroll%20-%20Rank%20and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0"/>
      <sheetName val="DATE lookup"/>
      <sheetName val="revised tax table"/>
      <sheetName val="SSS table 2021"/>
      <sheetName val="PHIC table"/>
      <sheetName val="Evaluation slip 2021"/>
      <sheetName val="Acct Final"/>
      <sheetName val="2022 June Salary Distortion"/>
      <sheetName val="Title Allowance Table"/>
      <sheetName val="Chart of Account"/>
      <sheetName val="Checklist"/>
      <sheetName val="JV (ER contri)"/>
      <sheetName val="JV (SN Trainee)"/>
      <sheetName val="Payslip (NEW)"/>
      <sheetName val="Payment Voucher"/>
      <sheetName val="JV"/>
      <sheetName val="PAYROLL"/>
      <sheetName val="RCBC"/>
      <sheetName val="Aug15"/>
      <sheetName val="Deductions"/>
      <sheetName val="less 2 years"/>
      <sheetName val="SSSPhilhealthPagibig"/>
      <sheetName val="ST 6-27-6-29"/>
      <sheetName val="Adjustment"/>
      <sheetName val="Sheet1"/>
    </sheetNames>
    <sheetDataSet>
      <sheetData sheetId="0" refreshError="1"/>
      <sheetData sheetId="1">
        <row r="8">
          <cell r="E8" t="str">
            <v>PAYROLL DATE</v>
          </cell>
          <cell r="F8" t="str">
            <v>BEG</v>
          </cell>
          <cell r="G8" t="str">
            <v>END</v>
          </cell>
          <cell r="H8" t="str">
            <v>PAYROLL CUT-OFF</v>
          </cell>
        </row>
        <row r="10">
          <cell r="E10" t="str">
            <v>30 DECEMBER 2022</v>
          </cell>
          <cell r="F10">
            <v>11</v>
          </cell>
          <cell r="G10">
            <v>25</v>
          </cell>
          <cell r="H10" t="str">
            <v>(11 - 25 DEC, 2022)</v>
          </cell>
        </row>
        <row r="11">
          <cell r="E11" t="str">
            <v>15 JANUARY 2023</v>
          </cell>
          <cell r="F11">
            <v>26</v>
          </cell>
          <cell r="G11">
            <v>10</v>
          </cell>
          <cell r="H11" t="str">
            <v>(26 DEC - 10 JAN, 2023)</v>
          </cell>
        </row>
        <row r="12">
          <cell r="E12" t="str">
            <v>30 JANUARY 2023</v>
          </cell>
          <cell r="F12">
            <v>11</v>
          </cell>
          <cell r="G12">
            <v>25</v>
          </cell>
          <cell r="H12" t="str">
            <v>(11 - 25 JAN, 2023)</v>
          </cell>
        </row>
        <row r="13">
          <cell r="E13" t="str">
            <v>15 FEBRUARY 2023</v>
          </cell>
          <cell r="F13">
            <v>26</v>
          </cell>
          <cell r="G13">
            <v>10</v>
          </cell>
          <cell r="H13" t="str">
            <v>(26 JAN - 10 FEB, 2023)</v>
          </cell>
        </row>
        <row r="14">
          <cell r="E14" t="str">
            <v>28 FEBRUARY 2023</v>
          </cell>
          <cell r="F14">
            <v>11</v>
          </cell>
          <cell r="G14">
            <v>25</v>
          </cell>
          <cell r="H14" t="str">
            <v>(11 - 25 FEB, 2023)</v>
          </cell>
        </row>
        <row r="15">
          <cell r="E15" t="str">
            <v>29 FEBRUARY 2023</v>
          </cell>
          <cell r="F15">
            <v>11</v>
          </cell>
          <cell r="G15">
            <v>25</v>
          </cell>
          <cell r="H15" t="str">
            <v>(11 - 25 FEB, 2023)</v>
          </cell>
        </row>
        <row r="16">
          <cell r="E16" t="str">
            <v>15 MARCH 2023</v>
          </cell>
          <cell r="F16">
            <v>26</v>
          </cell>
          <cell r="G16">
            <v>10</v>
          </cell>
          <cell r="H16" t="str">
            <v>(26 FEB - 10 MAR, 2023)</v>
          </cell>
        </row>
        <row r="17">
          <cell r="E17" t="str">
            <v>30 MARCH 2023</v>
          </cell>
          <cell r="F17">
            <v>11</v>
          </cell>
          <cell r="G17">
            <v>25</v>
          </cell>
          <cell r="H17" t="str">
            <v>(11 - 25 MAR, 2023)</v>
          </cell>
        </row>
        <row r="18">
          <cell r="E18" t="str">
            <v>15 APRIL 2023</v>
          </cell>
          <cell r="F18">
            <v>26</v>
          </cell>
          <cell r="G18">
            <v>10</v>
          </cell>
          <cell r="H18" t="str">
            <v>(26 MAR - 10 APR, 2023)</v>
          </cell>
        </row>
        <row r="19">
          <cell r="E19" t="str">
            <v>30 APRIL 2023</v>
          </cell>
          <cell r="F19">
            <v>11</v>
          </cell>
          <cell r="G19">
            <v>25</v>
          </cell>
          <cell r="H19" t="str">
            <v>(11 - 25 APR, 2023)</v>
          </cell>
        </row>
        <row r="20">
          <cell r="E20" t="str">
            <v>15 MAY 2023</v>
          </cell>
          <cell r="F20">
            <v>26</v>
          </cell>
          <cell r="G20">
            <v>10</v>
          </cell>
          <cell r="H20" t="str">
            <v>(26 APR - 10 MAY, 2023)</v>
          </cell>
        </row>
        <row r="21">
          <cell r="E21" t="str">
            <v>30 MAY 2023</v>
          </cell>
          <cell r="F21">
            <v>11</v>
          </cell>
          <cell r="G21">
            <v>25</v>
          </cell>
          <cell r="H21" t="str">
            <v>(11 - 25 MAY, 2023)</v>
          </cell>
        </row>
        <row r="22">
          <cell r="E22" t="str">
            <v>15 JUNE 2023</v>
          </cell>
          <cell r="F22">
            <v>26</v>
          </cell>
          <cell r="G22">
            <v>10</v>
          </cell>
          <cell r="H22" t="str">
            <v>(26 MAY - 10 JUN, 2023)</v>
          </cell>
        </row>
        <row r="23">
          <cell r="E23" t="str">
            <v>30 JUNE 2023</v>
          </cell>
          <cell r="F23">
            <v>11</v>
          </cell>
          <cell r="G23">
            <v>25</v>
          </cell>
          <cell r="H23" t="str">
            <v>(11 - 25 JUN, 2023)</v>
          </cell>
        </row>
        <row r="24">
          <cell r="E24" t="str">
            <v>15 JULY 2023</v>
          </cell>
          <cell r="F24">
            <v>26</v>
          </cell>
          <cell r="G24">
            <v>10</v>
          </cell>
          <cell r="H24" t="str">
            <v>(26 JUN - 10 JUL, 2023)</v>
          </cell>
        </row>
        <row r="25">
          <cell r="E25" t="str">
            <v>30 JULY 2023</v>
          </cell>
          <cell r="F25">
            <v>11</v>
          </cell>
          <cell r="G25">
            <v>25</v>
          </cell>
          <cell r="H25" t="str">
            <v>(11 - 25 JUL, 2023)</v>
          </cell>
        </row>
        <row r="26">
          <cell r="E26" t="str">
            <v>15 AUGUST 2023</v>
          </cell>
          <cell r="F26">
            <v>26</v>
          </cell>
          <cell r="G26">
            <v>10</v>
          </cell>
          <cell r="H26" t="str">
            <v>(26 JUL - 10 AUG, 2023)</v>
          </cell>
        </row>
        <row r="27">
          <cell r="E27" t="str">
            <v>30 AUGUST 2023</v>
          </cell>
          <cell r="F27">
            <v>11</v>
          </cell>
          <cell r="G27">
            <v>25</v>
          </cell>
          <cell r="H27" t="str">
            <v>(11 - 25 AUG, 2023)</v>
          </cell>
        </row>
        <row r="28">
          <cell r="E28" t="str">
            <v>15 SEPTEMBER 2023</v>
          </cell>
          <cell r="F28">
            <v>26</v>
          </cell>
          <cell r="G28">
            <v>10</v>
          </cell>
          <cell r="H28" t="str">
            <v>(26 AUG - 10 SEP, 2023)</v>
          </cell>
        </row>
        <row r="29">
          <cell r="E29" t="str">
            <v>30 SEPTEMBER 2023</v>
          </cell>
          <cell r="F29">
            <v>11</v>
          </cell>
          <cell r="G29">
            <v>25</v>
          </cell>
          <cell r="H29" t="str">
            <v>(11 - 25 SEP, 2023)</v>
          </cell>
        </row>
        <row r="30">
          <cell r="E30" t="str">
            <v>15 OCTOBER 2023</v>
          </cell>
          <cell r="F30">
            <v>26</v>
          </cell>
          <cell r="G30">
            <v>10</v>
          </cell>
          <cell r="H30" t="str">
            <v>(26 SEP - 10 OCT, 2023)</v>
          </cell>
        </row>
        <row r="31">
          <cell r="E31" t="str">
            <v>30 OCTOBER 2023</v>
          </cell>
          <cell r="F31">
            <v>11</v>
          </cell>
          <cell r="G31">
            <v>25</v>
          </cell>
          <cell r="H31" t="str">
            <v>(11 - 25 OCT, 2023)</v>
          </cell>
        </row>
        <row r="32">
          <cell r="E32" t="str">
            <v>15 NOVEMBER 2023</v>
          </cell>
          <cell r="F32">
            <v>26</v>
          </cell>
          <cell r="G32">
            <v>10</v>
          </cell>
          <cell r="H32" t="str">
            <v>(26 OCT - 10 NOV, 2023)</v>
          </cell>
        </row>
        <row r="33">
          <cell r="E33" t="str">
            <v>30 NOVEMBER 2023</v>
          </cell>
          <cell r="F33">
            <v>11</v>
          </cell>
          <cell r="G33">
            <v>25</v>
          </cell>
          <cell r="H33" t="str">
            <v>(11 - 25 NOV, 2023)</v>
          </cell>
        </row>
        <row r="34">
          <cell r="E34" t="str">
            <v>15 DECEMBER 2023</v>
          </cell>
          <cell r="F34">
            <v>26</v>
          </cell>
          <cell r="G34">
            <v>10</v>
          </cell>
          <cell r="H34" t="str">
            <v>(26 NOV - 10 DEC, 2023)</v>
          </cell>
        </row>
        <row r="35">
          <cell r="E35" t="str">
            <v>30 DECEMBER 2023</v>
          </cell>
          <cell r="F35">
            <v>11</v>
          </cell>
          <cell r="G35">
            <v>25</v>
          </cell>
          <cell r="H35" t="str">
            <v>(11 - 25 DEC, 2023)</v>
          </cell>
        </row>
        <row r="36">
          <cell r="E36" t="str">
            <v>13th MONTH 2023</v>
          </cell>
          <cell r="F36" t="str">
            <v>JAN</v>
          </cell>
          <cell r="G36" t="str">
            <v>DEC</v>
          </cell>
          <cell r="H36" t="str">
            <v>(JAN - DEC 2023)</v>
          </cell>
        </row>
      </sheetData>
      <sheetData sheetId="2" refreshError="1"/>
      <sheetData sheetId="3">
        <row r="6">
          <cell r="N6" t="str">
            <v>TOTAL EE</v>
          </cell>
          <cell r="O6" t="str">
            <v>TOTAL EC</v>
          </cell>
          <cell r="P6" t="str">
            <v>TOTAL CONTRIBUTION</v>
          </cell>
          <cell r="Q6" t="str">
            <v>EMPLOYER SHARE</v>
          </cell>
        </row>
        <row r="9">
          <cell r="N9">
            <v>180</v>
          </cell>
          <cell r="O9">
            <v>10</v>
          </cell>
          <cell r="P9">
            <v>570</v>
          </cell>
          <cell r="Q9">
            <v>390</v>
          </cell>
        </row>
        <row r="10">
          <cell r="N10">
            <v>202.5</v>
          </cell>
          <cell r="O10">
            <v>10</v>
          </cell>
          <cell r="P10">
            <v>640</v>
          </cell>
          <cell r="Q10">
            <v>437.5</v>
          </cell>
        </row>
        <row r="11">
          <cell r="N11">
            <v>225</v>
          </cell>
          <cell r="O11">
            <v>10</v>
          </cell>
          <cell r="P11">
            <v>710</v>
          </cell>
          <cell r="Q11">
            <v>485</v>
          </cell>
        </row>
        <row r="12">
          <cell r="N12">
            <v>247.5</v>
          </cell>
          <cell r="O12">
            <v>10</v>
          </cell>
          <cell r="P12">
            <v>780</v>
          </cell>
          <cell r="Q12">
            <v>532.5</v>
          </cell>
        </row>
        <row r="13">
          <cell r="N13">
            <v>270</v>
          </cell>
          <cell r="O13">
            <v>10</v>
          </cell>
          <cell r="P13">
            <v>850</v>
          </cell>
          <cell r="Q13">
            <v>580</v>
          </cell>
        </row>
        <row r="14">
          <cell r="N14">
            <v>292.5</v>
          </cell>
          <cell r="O14">
            <v>10</v>
          </cell>
          <cell r="P14">
            <v>920</v>
          </cell>
          <cell r="Q14">
            <v>627.5</v>
          </cell>
        </row>
        <row r="15">
          <cell r="N15">
            <v>315</v>
          </cell>
          <cell r="O15">
            <v>10</v>
          </cell>
          <cell r="P15">
            <v>990</v>
          </cell>
          <cell r="Q15">
            <v>675</v>
          </cell>
        </row>
        <row r="16">
          <cell r="N16">
            <v>337.5</v>
          </cell>
          <cell r="O16">
            <v>10</v>
          </cell>
          <cell r="P16">
            <v>1060</v>
          </cell>
          <cell r="Q16">
            <v>722.5</v>
          </cell>
        </row>
        <row r="17">
          <cell r="N17">
            <v>360</v>
          </cell>
          <cell r="O17">
            <v>10</v>
          </cell>
          <cell r="P17">
            <v>1130</v>
          </cell>
          <cell r="Q17">
            <v>770</v>
          </cell>
        </row>
        <row r="18">
          <cell r="N18">
            <v>382.5</v>
          </cell>
          <cell r="O18">
            <v>10</v>
          </cell>
          <cell r="P18">
            <v>1200</v>
          </cell>
          <cell r="Q18">
            <v>817.5</v>
          </cell>
        </row>
        <row r="19">
          <cell r="N19">
            <v>405</v>
          </cell>
          <cell r="O19">
            <v>10</v>
          </cell>
          <cell r="P19">
            <v>1270</v>
          </cell>
          <cell r="Q19">
            <v>865</v>
          </cell>
        </row>
        <row r="20">
          <cell r="N20">
            <v>427.5</v>
          </cell>
          <cell r="O20">
            <v>10</v>
          </cell>
          <cell r="P20">
            <v>1340</v>
          </cell>
          <cell r="Q20">
            <v>912.5</v>
          </cell>
        </row>
        <row r="21">
          <cell r="N21">
            <v>450</v>
          </cell>
          <cell r="O21">
            <v>10</v>
          </cell>
          <cell r="P21">
            <v>1410</v>
          </cell>
          <cell r="Q21">
            <v>960</v>
          </cell>
        </row>
        <row r="22">
          <cell r="N22">
            <v>472.5</v>
          </cell>
          <cell r="O22">
            <v>10</v>
          </cell>
          <cell r="P22">
            <v>1480</v>
          </cell>
          <cell r="Q22">
            <v>1007.5</v>
          </cell>
        </row>
        <row r="23">
          <cell r="N23">
            <v>495</v>
          </cell>
          <cell r="O23">
            <v>10</v>
          </cell>
          <cell r="P23">
            <v>1550</v>
          </cell>
          <cell r="Q23">
            <v>1055</v>
          </cell>
        </row>
        <row r="24">
          <cell r="N24">
            <v>517.5</v>
          </cell>
          <cell r="O24">
            <v>10</v>
          </cell>
          <cell r="P24">
            <v>1620</v>
          </cell>
          <cell r="Q24">
            <v>1102.5</v>
          </cell>
        </row>
        <row r="25">
          <cell r="N25">
            <v>540</v>
          </cell>
          <cell r="O25">
            <v>10</v>
          </cell>
          <cell r="P25">
            <v>1690</v>
          </cell>
          <cell r="Q25">
            <v>1150</v>
          </cell>
        </row>
        <row r="26">
          <cell r="N26">
            <v>562.5</v>
          </cell>
          <cell r="O26">
            <v>10</v>
          </cell>
          <cell r="P26">
            <v>1760</v>
          </cell>
          <cell r="Q26">
            <v>1197.5</v>
          </cell>
        </row>
        <row r="27">
          <cell r="N27">
            <v>585</v>
          </cell>
          <cell r="O27">
            <v>10</v>
          </cell>
          <cell r="P27">
            <v>1830</v>
          </cell>
          <cell r="Q27">
            <v>1245</v>
          </cell>
        </row>
        <row r="28">
          <cell r="N28">
            <v>607.5</v>
          </cell>
          <cell r="O28">
            <v>10</v>
          </cell>
          <cell r="P28">
            <v>1900</v>
          </cell>
          <cell r="Q28">
            <v>1292.5</v>
          </cell>
        </row>
        <row r="29">
          <cell r="N29">
            <v>630</v>
          </cell>
          <cell r="O29">
            <v>10</v>
          </cell>
          <cell r="P29">
            <v>1970</v>
          </cell>
          <cell r="Q29">
            <v>1340</v>
          </cell>
        </row>
        <row r="30">
          <cell r="N30">
            <v>652.5</v>
          </cell>
          <cell r="O30">
            <v>10</v>
          </cell>
          <cell r="P30">
            <v>2040</v>
          </cell>
          <cell r="Q30">
            <v>1387.5</v>
          </cell>
        </row>
        <row r="31">
          <cell r="N31">
            <v>675</v>
          </cell>
          <cell r="O31">
            <v>30</v>
          </cell>
          <cell r="P31">
            <v>2130</v>
          </cell>
          <cell r="Q31">
            <v>1455</v>
          </cell>
        </row>
        <row r="32">
          <cell r="N32">
            <v>697.5</v>
          </cell>
          <cell r="O32">
            <v>30</v>
          </cell>
          <cell r="P32">
            <v>2200</v>
          </cell>
          <cell r="Q32">
            <v>1502.5</v>
          </cell>
        </row>
        <row r="33">
          <cell r="N33">
            <v>720</v>
          </cell>
          <cell r="O33">
            <v>30</v>
          </cell>
          <cell r="P33">
            <v>2270</v>
          </cell>
          <cell r="Q33">
            <v>1550</v>
          </cell>
        </row>
        <row r="34">
          <cell r="N34">
            <v>742.5</v>
          </cell>
          <cell r="O34">
            <v>30</v>
          </cell>
          <cell r="P34">
            <v>2340</v>
          </cell>
          <cell r="Q34">
            <v>1597.5</v>
          </cell>
        </row>
        <row r="35">
          <cell r="N35">
            <v>765</v>
          </cell>
          <cell r="O35">
            <v>30</v>
          </cell>
          <cell r="P35">
            <v>2410</v>
          </cell>
          <cell r="Q35">
            <v>1645</v>
          </cell>
        </row>
        <row r="36">
          <cell r="N36">
            <v>787.5</v>
          </cell>
          <cell r="O36">
            <v>30</v>
          </cell>
          <cell r="P36">
            <v>2480</v>
          </cell>
          <cell r="Q36">
            <v>1692.5</v>
          </cell>
        </row>
        <row r="37">
          <cell r="N37">
            <v>810</v>
          </cell>
          <cell r="O37">
            <v>30</v>
          </cell>
          <cell r="P37">
            <v>2550</v>
          </cell>
          <cell r="Q37">
            <v>1740</v>
          </cell>
        </row>
        <row r="38">
          <cell r="N38">
            <v>832.5</v>
          </cell>
          <cell r="O38">
            <v>30</v>
          </cell>
          <cell r="P38">
            <v>2620</v>
          </cell>
          <cell r="Q38">
            <v>1787.5</v>
          </cell>
        </row>
        <row r="39">
          <cell r="N39">
            <v>855</v>
          </cell>
          <cell r="O39">
            <v>30</v>
          </cell>
          <cell r="P39">
            <v>2690</v>
          </cell>
          <cell r="Q39">
            <v>1835</v>
          </cell>
        </row>
        <row r="40">
          <cell r="N40">
            <v>877.5</v>
          </cell>
          <cell r="O40">
            <v>30</v>
          </cell>
          <cell r="P40">
            <v>2760</v>
          </cell>
          <cell r="Q40">
            <v>1882.5</v>
          </cell>
        </row>
        <row r="41">
          <cell r="N41">
            <v>900</v>
          </cell>
          <cell r="O41">
            <v>30</v>
          </cell>
          <cell r="P41">
            <v>2830</v>
          </cell>
          <cell r="Q41">
            <v>1930</v>
          </cell>
        </row>
        <row r="42">
          <cell r="N42">
            <v>922.5</v>
          </cell>
          <cell r="O42">
            <v>30</v>
          </cell>
          <cell r="P42">
            <v>2900</v>
          </cell>
          <cell r="Q42">
            <v>1977.5</v>
          </cell>
        </row>
        <row r="43">
          <cell r="N43">
            <v>945</v>
          </cell>
          <cell r="O43">
            <v>30</v>
          </cell>
          <cell r="P43">
            <v>2970</v>
          </cell>
          <cell r="Q43">
            <v>2025</v>
          </cell>
        </row>
        <row r="44">
          <cell r="N44">
            <v>967.5</v>
          </cell>
          <cell r="O44">
            <v>30</v>
          </cell>
          <cell r="P44">
            <v>3040</v>
          </cell>
          <cell r="Q44">
            <v>2072.5</v>
          </cell>
        </row>
        <row r="45">
          <cell r="N45">
            <v>990</v>
          </cell>
          <cell r="O45">
            <v>30</v>
          </cell>
          <cell r="P45">
            <v>3110</v>
          </cell>
          <cell r="Q45">
            <v>2120</v>
          </cell>
        </row>
        <row r="46">
          <cell r="N46">
            <v>1012.5</v>
          </cell>
          <cell r="O46">
            <v>30</v>
          </cell>
          <cell r="P46">
            <v>3180</v>
          </cell>
          <cell r="Q46">
            <v>2167.5</v>
          </cell>
        </row>
        <row r="47">
          <cell r="N47">
            <v>1035</v>
          </cell>
          <cell r="O47">
            <v>30</v>
          </cell>
          <cell r="P47">
            <v>3250</v>
          </cell>
          <cell r="Q47">
            <v>2215</v>
          </cell>
        </row>
        <row r="48">
          <cell r="N48">
            <v>1057.5</v>
          </cell>
          <cell r="O48">
            <v>30</v>
          </cell>
          <cell r="P48">
            <v>3320</v>
          </cell>
          <cell r="Q48">
            <v>2262.5</v>
          </cell>
        </row>
        <row r="49">
          <cell r="N49">
            <v>1080</v>
          </cell>
          <cell r="O49">
            <v>30</v>
          </cell>
          <cell r="P49">
            <v>3390</v>
          </cell>
          <cell r="Q49">
            <v>2310</v>
          </cell>
        </row>
        <row r="50">
          <cell r="N50">
            <v>1102.5</v>
          </cell>
          <cell r="O50">
            <v>30</v>
          </cell>
          <cell r="P50">
            <v>3460</v>
          </cell>
          <cell r="Q50">
            <v>2357.5</v>
          </cell>
        </row>
        <row r="51">
          <cell r="N51">
            <v>1125</v>
          </cell>
          <cell r="O51">
            <v>30</v>
          </cell>
          <cell r="P51">
            <v>3530</v>
          </cell>
          <cell r="Q51">
            <v>2405</v>
          </cell>
        </row>
        <row r="52">
          <cell r="N52">
            <v>1147.5</v>
          </cell>
          <cell r="O52">
            <v>30</v>
          </cell>
          <cell r="P52">
            <v>3600</v>
          </cell>
          <cell r="Q52">
            <v>2452.5</v>
          </cell>
        </row>
        <row r="53">
          <cell r="N53">
            <v>1170</v>
          </cell>
          <cell r="O53">
            <v>30</v>
          </cell>
          <cell r="P53">
            <v>3670</v>
          </cell>
          <cell r="Q53">
            <v>2500</v>
          </cell>
        </row>
        <row r="54">
          <cell r="N54">
            <v>1192.5</v>
          </cell>
          <cell r="O54">
            <v>30</v>
          </cell>
          <cell r="P54">
            <v>3740</v>
          </cell>
          <cell r="Q54">
            <v>2547.5</v>
          </cell>
        </row>
        <row r="55">
          <cell r="N55">
            <v>1215</v>
          </cell>
          <cell r="O55">
            <v>30</v>
          </cell>
          <cell r="P55">
            <v>3810</v>
          </cell>
          <cell r="Q55">
            <v>2595</v>
          </cell>
        </row>
        <row r="56">
          <cell r="N56">
            <v>1237.5</v>
          </cell>
          <cell r="O56">
            <v>30</v>
          </cell>
          <cell r="P56">
            <v>3880</v>
          </cell>
          <cell r="Q56">
            <v>2642.5</v>
          </cell>
        </row>
        <row r="57">
          <cell r="N57">
            <v>1260</v>
          </cell>
          <cell r="O57">
            <v>30</v>
          </cell>
          <cell r="P57">
            <v>3950</v>
          </cell>
          <cell r="Q57">
            <v>2690</v>
          </cell>
        </row>
        <row r="58">
          <cell r="N58">
            <v>1282.5</v>
          </cell>
          <cell r="O58">
            <v>30</v>
          </cell>
          <cell r="P58">
            <v>4020</v>
          </cell>
          <cell r="Q58">
            <v>2737.5</v>
          </cell>
        </row>
        <row r="59">
          <cell r="N59">
            <v>1305</v>
          </cell>
          <cell r="O59">
            <v>30</v>
          </cell>
          <cell r="P59">
            <v>4090</v>
          </cell>
          <cell r="Q59">
            <v>2785</v>
          </cell>
        </row>
        <row r="60">
          <cell r="N60">
            <v>1327.5</v>
          </cell>
          <cell r="O60">
            <v>30</v>
          </cell>
          <cell r="P60">
            <v>4160</v>
          </cell>
          <cell r="Q60">
            <v>2832.5</v>
          </cell>
        </row>
        <row r="61">
          <cell r="N61">
            <v>1350</v>
          </cell>
          <cell r="O61">
            <v>30</v>
          </cell>
          <cell r="P61">
            <v>4230</v>
          </cell>
          <cell r="Q61">
            <v>2880</v>
          </cell>
        </row>
      </sheetData>
      <sheetData sheetId="4" refreshError="1"/>
      <sheetData sheetId="5" refreshError="1"/>
      <sheetData sheetId="6" refreshError="1"/>
      <sheetData sheetId="7" refreshError="1"/>
      <sheetData sheetId="8">
        <row r="1">
          <cell r="A1" t="str">
            <v>SUMINAC PHILIPPINES, INC.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>
        <row r="1">
          <cell r="C1" t="str">
            <v>SUMINAC PHILIPPINES, INC.</v>
          </cell>
        </row>
      </sheetData>
      <sheetData sheetId="17" refreshError="1"/>
      <sheetData sheetId="18" refreshError="1"/>
      <sheetData sheetId="19">
        <row r="1">
          <cell r="C1" t="str">
            <v>Suminac Philippines Inc.</v>
          </cell>
          <cell r="Q1" t="str">
            <v>DEDUCT ON</v>
          </cell>
        </row>
        <row r="2">
          <cell r="C2" t="str">
            <v>30 AUGUST 2023</v>
          </cell>
          <cell r="Q2" t="str">
            <v xml:space="preserve">15TH </v>
          </cell>
          <cell r="R2" t="str">
            <v>30TH</v>
          </cell>
        </row>
        <row r="3">
          <cell r="C3">
            <v>1</v>
          </cell>
          <cell r="Q3">
            <v>15</v>
          </cell>
          <cell r="R3">
            <v>16</v>
          </cell>
          <cell r="S3">
            <v>17</v>
          </cell>
          <cell r="T3">
            <v>18</v>
          </cell>
        </row>
        <row r="5">
          <cell r="Q5" t="str">
            <v>ACTUAL DEDUCTION</v>
          </cell>
        </row>
        <row r="6">
          <cell r="C6" t="str">
            <v>ID No.</v>
          </cell>
          <cell r="Q6" t="str">
            <v>SSS SALARY</v>
          </cell>
          <cell r="R6" t="str">
            <v>SSS CALAMITY</v>
          </cell>
          <cell r="S6" t="str">
            <v>HDMF MPL Loan</v>
          </cell>
          <cell r="T6" t="str">
            <v>HDMF CAL Loan</v>
          </cell>
        </row>
        <row r="7">
          <cell r="C7">
            <v>63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C8">
            <v>73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C9">
            <v>121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C10">
            <v>151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C11">
            <v>168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C12">
            <v>219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C13">
            <v>335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C14">
            <v>363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C15">
            <v>373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C16">
            <v>381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C17">
            <v>387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C18">
            <v>413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C19">
            <v>422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C20">
            <v>450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C21">
            <v>465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C22">
            <v>473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C23">
            <v>491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C24">
            <v>509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C25">
            <v>519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C26">
            <v>526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C27">
            <v>529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C28">
            <v>530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C29">
            <v>551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C30">
            <v>567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C31">
            <v>584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C32">
            <v>587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C33">
            <v>588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C34">
            <v>628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C35">
            <v>629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C36">
            <v>636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C37">
            <v>637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C38">
            <v>644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C39">
            <v>645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C40">
            <v>651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C41">
            <v>659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C42">
            <v>660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C43">
            <v>677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C44">
            <v>699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C45">
            <v>728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C46">
            <v>737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47">
          <cell r="C47">
            <v>739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C48">
            <v>754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C49">
            <v>757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C50">
            <v>758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C51">
            <v>761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C52">
            <v>767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C53">
            <v>779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C54">
            <v>780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C55">
            <v>781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C56">
            <v>785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C57">
            <v>787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C58">
            <v>788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C59">
            <v>789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C60">
            <v>791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C61">
            <v>794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C62">
            <v>795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C63">
            <v>804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C64">
            <v>820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C65">
            <v>825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C66">
            <v>834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C67">
            <v>835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C68">
            <v>836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C69">
            <v>852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C70">
            <v>869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C71">
            <v>873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C72">
            <v>896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C73">
            <v>904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C74">
            <v>921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C75">
            <v>922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</row>
        <row r="76">
          <cell r="C76">
            <v>926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C77">
            <v>929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</row>
        <row r="78">
          <cell r="C78">
            <v>933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</row>
        <row r="79">
          <cell r="C79">
            <v>940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</row>
        <row r="80">
          <cell r="C80">
            <v>941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C81">
            <v>944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</row>
        <row r="82">
          <cell r="C82">
            <v>949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C83">
            <v>950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C84">
            <v>951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C85">
            <v>952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C86">
            <v>953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C87">
            <v>960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8">
          <cell r="C88">
            <v>961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</row>
        <row r="89">
          <cell r="C89">
            <v>967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</row>
        <row r="90">
          <cell r="C90">
            <v>972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</row>
        <row r="91">
          <cell r="C91">
            <v>977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C92">
            <v>983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C93">
            <v>990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C94">
            <v>992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C95">
            <v>997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C96">
            <v>1002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C97">
            <v>1030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C98">
            <v>1033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C99">
            <v>1038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C100">
            <v>1041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C101">
            <v>1046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C102">
            <v>1049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C103">
            <v>1057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C104">
            <v>1061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C105">
            <v>1062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C106">
            <v>1064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C107">
            <v>1065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C108">
            <v>1066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C109">
            <v>1068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C110">
            <v>1071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C111">
            <v>1072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C112">
            <v>1074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C113">
            <v>1075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C114">
            <v>1084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C115">
            <v>1089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C116">
            <v>1093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C117">
            <v>1108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C118">
            <v>1115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C119">
            <v>1116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C120">
            <v>1127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C121">
            <v>1134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C122">
            <v>1136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C123">
            <v>1139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C124">
            <v>1140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>
            <v>1141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>
            <v>1150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>
            <v>1152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>
            <v>1164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C129">
            <v>1168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0">
          <cell r="C130">
            <v>1169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C131">
            <v>1174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C132">
            <v>1178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C133">
            <v>1187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C134">
            <v>1197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C135">
            <v>1199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C136">
            <v>1206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C137">
            <v>1207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C138">
            <v>1209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C139">
            <v>1212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C140">
            <v>1213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C141">
            <v>1217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C142">
            <v>1218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</row>
        <row r="143">
          <cell r="C143">
            <v>1221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C144">
            <v>1228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C145">
            <v>1229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</row>
        <row r="146">
          <cell r="C146">
            <v>1231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</row>
        <row r="147">
          <cell r="C147">
            <v>1233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</row>
        <row r="148">
          <cell r="C148">
            <v>1234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49">
          <cell r="C149">
            <v>1235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</row>
        <row r="150">
          <cell r="C150">
            <v>1238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1">
          <cell r="C151">
            <v>1239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</row>
        <row r="152">
          <cell r="C152">
            <v>1247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</row>
        <row r="153">
          <cell r="C153">
            <v>1249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C154">
            <v>1253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C155">
            <v>1264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C156">
            <v>1271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7">
          <cell r="C157">
            <v>1273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</row>
        <row r="158">
          <cell r="C158">
            <v>1285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59">
          <cell r="C159">
            <v>1293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</row>
        <row r="160">
          <cell r="C160">
            <v>1331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</row>
        <row r="161">
          <cell r="C161">
            <v>1349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C162">
            <v>1366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C163">
            <v>1376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</row>
        <row r="164">
          <cell r="C164">
            <v>1380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</row>
        <row r="165">
          <cell r="C165">
            <v>1388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6">
          <cell r="C166">
            <v>1400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</row>
        <row r="167">
          <cell r="C167">
            <v>1419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8">
          <cell r="C168">
            <v>1442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</row>
        <row r="169">
          <cell r="C169">
            <v>1455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C170">
            <v>1463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</row>
        <row r="171">
          <cell r="C171">
            <v>1474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</row>
        <row r="172">
          <cell r="C172">
            <v>1476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</row>
        <row r="173">
          <cell r="C173">
            <v>1477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</row>
        <row r="174">
          <cell r="C174">
            <v>1481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</row>
        <row r="175">
          <cell r="C175">
            <v>1485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</row>
        <row r="176">
          <cell r="C176">
            <v>1532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</row>
        <row r="177">
          <cell r="C177">
            <v>1540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</row>
        <row r="178">
          <cell r="C178">
            <v>1566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</row>
        <row r="179">
          <cell r="C179">
            <v>1558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</row>
        <row r="180">
          <cell r="C180">
            <v>1578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</row>
        <row r="181">
          <cell r="C181">
            <v>1582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</row>
        <row r="182">
          <cell r="C182">
            <v>1601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</row>
        <row r="183">
          <cell r="C183">
            <v>1605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</row>
        <row r="184">
          <cell r="C184">
            <v>1611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</row>
        <row r="185">
          <cell r="C185">
            <v>1626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</row>
        <row r="186">
          <cell r="C186">
            <v>1636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</row>
        <row r="187">
          <cell r="C187">
            <v>1664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</row>
        <row r="188">
          <cell r="C188">
            <v>1668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</row>
        <row r="189">
          <cell r="C189">
            <v>1670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</row>
        <row r="190">
          <cell r="C190">
            <v>1677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</row>
        <row r="191">
          <cell r="C191">
            <v>1682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</row>
        <row r="192">
          <cell r="C192">
            <v>1702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</row>
        <row r="193">
          <cell r="C193">
            <v>1706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</row>
        <row r="194">
          <cell r="C194">
            <v>1712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</row>
        <row r="195">
          <cell r="C195">
            <v>1718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</row>
        <row r="196">
          <cell r="C196">
            <v>1726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</row>
        <row r="197">
          <cell r="C197">
            <v>1731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</row>
        <row r="198">
          <cell r="C198">
            <v>1732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</row>
        <row r="199">
          <cell r="C199">
            <v>1733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</row>
        <row r="200">
          <cell r="C200">
            <v>1735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</row>
        <row r="201">
          <cell r="C201">
            <v>1736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</row>
        <row r="202">
          <cell r="C202">
            <v>1756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</row>
        <row r="203">
          <cell r="C203">
            <v>1762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</row>
        <row r="204">
          <cell r="C204">
            <v>1763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</row>
        <row r="205">
          <cell r="C205">
            <v>1785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</row>
        <row r="206">
          <cell r="C206">
            <v>1789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</row>
        <row r="207">
          <cell r="C207">
            <v>1795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</row>
        <row r="208">
          <cell r="C208">
            <v>1806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</row>
        <row r="209">
          <cell r="C209">
            <v>1820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</row>
        <row r="210">
          <cell r="C210">
            <v>1823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</row>
        <row r="211">
          <cell r="C211">
            <v>1844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</row>
        <row r="212">
          <cell r="C212">
            <v>1849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</row>
        <row r="213">
          <cell r="C213">
            <v>1914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</row>
        <row r="214">
          <cell r="C214">
            <v>1856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</row>
        <row r="215">
          <cell r="C215">
            <v>1858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</row>
        <row r="216">
          <cell r="C216">
            <v>1859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7">
          <cell r="C217">
            <v>1861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</row>
        <row r="218">
          <cell r="C218">
            <v>1863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C219">
            <v>1868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C220">
            <v>1870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C221">
            <v>1869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C222">
            <v>1910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C223">
            <v>1911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</row>
        <row r="224">
          <cell r="C224">
            <v>1915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</row>
        <row r="225">
          <cell r="C225">
            <v>1918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</row>
        <row r="226">
          <cell r="C226">
            <v>1921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</row>
        <row r="227">
          <cell r="C227">
            <v>1922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</row>
        <row r="228">
          <cell r="C228">
            <v>1924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</row>
        <row r="229">
          <cell r="C229">
            <v>1933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</row>
        <row r="230">
          <cell r="C230">
            <v>1935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C231">
            <v>1946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</row>
        <row r="232">
          <cell r="C232">
            <v>1943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3">
          <cell r="C233">
            <v>1965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C234">
            <v>1977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5">
          <cell r="C235">
            <v>1937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</row>
        <row r="236">
          <cell r="C236">
            <v>1990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</row>
        <row r="237">
          <cell r="C237">
            <v>1993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</row>
        <row r="238">
          <cell r="C238">
            <v>1997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</row>
        <row r="239">
          <cell r="C239">
            <v>1999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C240">
            <v>2007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C241">
            <v>2011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C242">
            <v>2012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</row>
        <row r="243">
          <cell r="C243">
            <v>2003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</row>
        <row r="244">
          <cell r="C244">
            <v>2010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</row>
        <row r="245">
          <cell r="C245">
            <v>2019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</row>
        <row r="246">
          <cell r="C246">
            <v>2018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</row>
        <row r="247">
          <cell r="C247">
            <v>2016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</row>
        <row r="248">
          <cell r="C248">
            <v>2015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</row>
        <row r="249">
          <cell r="C249">
            <v>2020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</row>
        <row r="250">
          <cell r="C250">
            <v>2024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</row>
        <row r="251">
          <cell r="C251">
            <v>2022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</row>
        <row r="252">
          <cell r="C252">
            <v>2025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</row>
        <row r="253">
          <cell r="C253">
            <v>2029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</row>
        <row r="254">
          <cell r="C254">
            <v>2028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</row>
        <row r="255">
          <cell r="C255">
            <v>2037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</row>
        <row r="256">
          <cell r="C256">
            <v>2031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</row>
        <row r="257">
          <cell r="C257">
            <v>2030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</row>
        <row r="258">
          <cell r="C258">
            <v>2046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</row>
        <row r="259">
          <cell r="C259">
            <v>2060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</row>
        <row r="260">
          <cell r="C260">
            <v>2059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</row>
        <row r="261">
          <cell r="C261">
            <v>2061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</row>
        <row r="262">
          <cell r="C262">
            <v>2077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</row>
        <row r="263">
          <cell r="C263">
            <v>2078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</row>
        <row r="264">
          <cell r="C264">
            <v>2085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</row>
        <row r="265">
          <cell r="C265">
            <v>2090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</row>
        <row r="266">
          <cell r="C266">
            <v>2094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</row>
        <row r="267">
          <cell r="C267">
            <v>2095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</row>
        <row r="268">
          <cell r="C268">
            <v>2099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</row>
        <row r="269">
          <cell r="C269">
            <v>2100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</row>
        <row r="270">
          <cell r="C270">
            <v>2103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</row>
        <row r="271">
          <cell r="C271">
            <v>2104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</row>
        <row r="272">
          <cell r="C272">
            <v>2106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</row>
        <row r="273">
          <cell r="C273">
            <v>2107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</row>
        <row r="274">
          <cell r="C274">
            <v>2111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</row>
        <row r="275">
          <cell r="C275">
            <v>2112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</row>
        <row r="276">
          <cell r="C276">
            <v>2117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</row>
        <row r="277">
          <cell r="C277">
            <v>2118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</row>
        <row r="278">
          <cell r="C278">
            <v>2119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</row>
        <row r="279">
          <cell r="C279">
            <v>2122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</row>
        <row r="280">
          <cell r="C280">
            <v>2125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C281">
            <v>2126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</row>
        <row r="282">
          <cell r="C282">
            <v>2130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</row>
        <row r="283">
          <cell r="C283">
            <v>2134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</row>
        <row r="284">
          <cell r="C284">
            <v>2137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</row>
        <row r="285">
          <cell r="C285">
            <v>2139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</row>
        <row r="286">
          <cell r="C286">
            <v>2141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</row>
        <row r="287">
          <cell r="C287">
            <v>2144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</row>
        <row r="288">
          <cell r="C288">
            <v>2145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</row>
        <row r="289">
          <cell r="C289">
            <v>2146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</row>
        <row r="290">
          <cell r="C290">
            <v>2147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</row>
        <row r="291">
          <cell r="C291">
            <v>2153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</row>
        <row r="292">
          <cell r="C292">
            <v>2154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</row>
        <row r="293">
          <cell r="C293">
            <v>2155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</row>
        <row r="294">
          <cell r="C294">
            <v>2157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</row>
        <row r="295">
          <cell r="C295">
            <v>2160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</row>
        <row r="296">
          <cell r="C296">
            <v>2167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</row>
        <row r="297">
          <cell r="C297">
            <v>2168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</row>
        <row r="298">
          <cell r="C298">
            <v>2169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</row>
        <row r="299">
          <cell r="C299">
            <v>2170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</row>
        <row r="300">
          <cell r="C300">
            <v>2173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</row>
        <row r="301">
          <cell r="C301">
            <v>2175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C302">
            <v>2176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</row>
        <row r="303">
          <cell r="C303">
            <v>2177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</row>
        <row r="304">
          <cell r="C304">
            <v>2178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</row>
        <row r="305">
          <cell r="C305">
            <v>2179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</row>
        <row r="306">
          <cell r="C306">
            <v>2180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</row>
        <row r="307">
          <cell r="C307">
            <v>2181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</row>
        <row r="308">
          <cell r="C308">
            <v>2182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</row>
        <row r="309">
          <cell r="C309">
            <v>2185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C310">
            <v>2186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</row>
        <row r="311">
          <cell r="C311">
            <v>2187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</row>
        <row r="312">
          <cell r="C312">
            <v>2188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</row>
        <row r="313">
          <cell r="C313">
            <v>2190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</row>
        <row r="314">
          <cell r="C314">
            <v>2195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</row>
        <row r="315">
          <cell r="C315">
            <v>2200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</row>
        <row r="316">
          <cell r="C316">
            <v>2201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</row>
        <row r="317">
          <cell r="C317">
            <v>2205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C318">
            <v>2214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</row>
        <row r="319">
          <cell r="C319">
            <v>2217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</row>
        <row r="320">
          <cell r="C320">
            <v>2221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</row>
        <row r="321">
          <cell r="C321">
            <v>2223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</row>
        <row r="322">
          <cell r="C322">
            <v>2231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</row>
        <row r="323">
          <cell r="C323">
            <v>2232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</row>
        <row r="324">
          <cell r="C324">
            <v>2233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</row>
        <row r="325">
          <cell r="C325">
            <v>2235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C326">
            <v>2237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</row>
        <row r="327">
          <cell r="C327">
            <v>2240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</row>
        <row r="328">
          <cell r="C328">
            <v>2241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</row>
        <row r="329">
          <cell r="C329">
            <v>2247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</row>
        <row r="330">
          <cell r="C330">
            <v>2251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</row>
        <row r="331">
          <cell r="C331">
            <v>2253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</row>
        <row r="332">
          <cell r="C332">
            <v>2256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</row>
        <row r="333">
          <cell r="C333">
            <v>2260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C334">
            <v>2266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</row>
        <row r="335">
          <cell r="C335">
            <v>2273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</row>
        <row r="336">
          <cell r="C336">
            <v>2271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</row>
        <row r="337">
          <cell r="C337">
            <v>2276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</row>
        <row r="338">
          <cell r="C338">
            <v>2281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</row>
        <row r="339">
          <cell r="C339">
            <v>2285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</row>
        <row r="340">
          <cell r="C340">
            <v>2293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</row>
        <row r="341">
          <cell r="C341">
            <v>2297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C342">
            <v>2290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</row>
        <row r="343">
          <cell r="C343">
            <v>2283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</row>
        <row r="344">
          <cell r="C344">
            <v>2300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</row>
        <row r="345">
          <cell r="C345">
            <v>2307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</row>
        <row r="346">
          <cell r="C346">
            <v>2304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</row>
        <row r="347">
          <cell r="C347">
            <v>2316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</row>
        <row r="348">
          <cell r="C348">
            <v>2313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C349">
            <v>2318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</row>
        <row r="350">
          <cell r="C350">
            <v>2327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</row>
        <row r="351">
          <cell r="C351">
            <v>2324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</row>
        <row r="352">
          <cell r="C352">
            <v>2333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C353">
            <v>2334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</row>
        <row r="354">
          <cell r="C354">
            <v>2337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</row>
        <row r="355">
          <cell r="C355">
            <v>2336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C356">
            <v>2341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</row>
        <row r="357">
          <cell r="C357">
            <v>2340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</row>
        <row r="358">
          <cell r="C358">
            <v>2348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</row>
        <row r="359">
          <cell r="C359">
            <v>2335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</row>
        <row r="360">
          <cell r="C360">
            <v>2362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</row>
        <row r="361">
          <cell r="C361">
            <v>2369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</row>
        <row r="362">
          <cell r="C362">
            <v>2368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</row>
        <row r="363">
          <cell r="C363">
            <v>2365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</row>
        <row r="364">
          <cell r="C364">
            <v>2373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</row>
        <row r="365">
          <cell r="C365">
            <v>2366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</row>
        <row r="366">
          <cell r="C366">
            <v>2377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</row>
        <row r="367">
          <cell r="C367">
            <v>2378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</row>
        <row r="368">
          <cell r="C368">
            <v>2379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</row>
        <row r="369">
          <cell r="C369">
            <v>2380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</row>
        <row r="370">
          <cell r="C370">
            <v>2376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</row>
        <row r="371">
          <cell r="C371">
            <v>2374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</row>
        <row r="372">
          <cell r="C372">
            <v>2382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</row>
        <row r="373">
          <cell r="C373">
            <v>2401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</row>
        <row r="374">
          <cell r="C374">
            <v>2385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</row>
        <row r="375">
          <cell r="C375">
            <v>2386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</row>
        <row r="376">
          <cell r="C376">
            <v>2387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</row>
        <row r="377">
          <cell r="C377">
            <v>2391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</row>
        <row r="378">
          <cell r="C378">
            <v>2393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</row>
        <row r="379">
          <cell r="C379">
            <v>2408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</row>
        <row r="380">
          <cell r="C380">
            <v>2392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</row>
        <row r="381">
          <cell r="C381">
            <v>2390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</row>
        <row r="382">
          <cell r="C382">
            <v>2403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</row>
        <row r="383">
          <cell r="C383">
            <v>2407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</row>
        <row r="384">
          <cell r="C384">
            <v>2406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</row>
        <row r="385">
          <cell r="C385">
            <v>2400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</row>
        <row r="386">
          <cell r="C386">
            <v>2397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</row>
        <row r="387">
          <cell r="C387">
            <v>2410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</row>
        <row r="388">
          <cell r="C388">
            <v>2455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</row>
        <row r="389">
          <cell r="C389">
            <v>2456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</row>
        <row r="390">
          <cell r="C390">
            <v>2411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</row>
        <row r="391">
          <cell r="C391">
            <v>2412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</row>
        <row r="392">
          <cell r="C392">
            <v>2440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</row>
        <row r="393">
          <cell r="C393">
            <v>2445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</row>
        <row r="394">
          <cell r="C394">
            <v>2418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</row>
        <row r="395">
          <cell r="C395">
            <v>2448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</row>
        <row r="396">
          <cell r="C396">
            <v>2457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</row>
        <row r="397">
          <cell r="C397">
            <v>2441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</row>
        <row r="398">
          <cell r="C398">
            <v>2451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</row>
        <row r="399">
          <cell r="C399">
            <v>2452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</row>
        <row r="400">
          <cell r="C400">
            <v>2454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</row>
        <row r="401">
          <cell r="C401">
            <v>2424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</row>
        <row r="402">
          <cell r="C402">
            <v>2450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</row>
        <row r="403">
          <cell r="C403">
            <v>2414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</row>
        <row r="404">
          <cell r="C404">
            <v>2422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</row>
        <row r="405">
          <cell r="C405">
            <v>2423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</row>
        <row r="406">
          <cell r="C406">
            <v>2417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</row>
        <row r="407">
          <cell r="C407">
            <v>2437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</row>
        <row r="408">
          <cell r="C408">
            <v>2420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</row>
        <row r="409">
          <cell r="C409">
            <v>2433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</row>
        <row r="410">
          <cell r="C410">
            <v>2444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</row>
        <row r="411">
          <cell r="C411">
            <v>2436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</row>
        <row r="412">
          <cell r="C412">
            <v>2435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</row>
        <row r="413">
          <cell r="C413">
            <v>2438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</row>
        <row r="414">
          <cell r="C414">
            <v>2439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</row>
        <row r="415">
          <cell r="C415">
            <v>2431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</row>
        <row r="416">
          <cell r="C416">
            <v>2460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</row>
        <row r="417">
          <cell r="C417">
            <v>2461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</row>
        <row r="418">
          <cell r="C418">
            <v>2462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</row>
        <row r="419">
          <cell r="C419">
            <v>2458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</row>
        <row r="420">
          <cell r="C420">
            <v>2459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</row>
        <row r="421">
          <cell r="C421">
            <v>2470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</row>
        <row r="422">
          <cell r="C422">
            <v>2463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</row>
        <row r="423">
          <cell r="C423">
            <v>2464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</row>
        <row r="424">
          <cell r="C424">
            <v>2465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</row>
        <row r="425">
          <cell r="C425">
            <v>2469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</row>
        <row r="426">
          <cell r="C426">
            <v>2467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</row>
        <row r="427">
          <cell r="C427">
            <v>2466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</row>
        <row r="428">
          <cell r="C428">
            <v>2468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</row>
        <row r="429">
          <cell r="C429">
            <v>2447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</row>
        <row r="430">
          <cell r="C430">
            <v>2471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</row>
        <row r="431">
          <cell r="C431">
            <v>2472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</row>
        <row r="432">
          <cell r="C432">
            <v>2477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</row>
        <row r="433">
          <cell r="C433">
            <v>2478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</row>
        <row r="434">
          <cell r="C434">
            <v>2479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</row>
        <row r="435">
          <cell r="C435">
            <v>2473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</row>
        <row r="436">
          <cell r="C436">
            <v>2474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</row>
        <row r="437">
          <cell r="C437">
            <v>2476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</row>
        <row r="438">
          <cell r="C438">
            <v>2475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</row>
        <row r="439">
          <cell r="C439">
            <v>2480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</row>
        <row r="440">
          <cell r="C440">
            <v>2482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</row>
        <row r="441">
          <cell r="C441">
            <v>2481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</row>
        <row r="442">
          <cell r="C442">
            <v>2483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</row>
        <row r="443">
          <cell r="C443">
            <v>2484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</row>
        <row r="444">
          <cell r="C444">
            <v>2485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</row>
        <row r="445">
          <cell r="C445">
            <v>2486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</row>
        <row r="446">
          <cell r="C446">
            <v>2490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</row>
        <row r="447">
          <cell r="C447">
            <v>2488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</row>
        <row r="448">
          <cell r="C448">
            <v>2489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</row>
        <row r="449">
          <cell r="C449">
            <v>2487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</row>
        <row r="450">
          <cell r="C450">
            <v>2492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</row>
        <row r="451">
          <cell r="C451">
            <v>2503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</row>
        <row r="452">
          <cell r="C452">
            <v>2493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</row>
        <row r="453">
          <cell r="C453">
            <v>2494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</row>
        <row r="454">
          <cell r="C454">
            <v>2495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</row>
        <row r="455">
          <cell r="C455">
            <v>2500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</row>
        <row r="456">
          <cell r="C456">
            <v>2501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</row>
        <row r="457">
          <cell r="C457">
            <v>2502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</row>
        <row r="458">
          <cell r="C458">
            <v>2499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</row>
        <row r="459">
          <cell r="C459">
            <v>2496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</row>
        <row r="460">
          <cell r="C460">
            <v>2497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</row>
        <row r="461">
          <cell r="C461">
            <v>2498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</row>
        <row r="462">
          <cell r="C462" t="str">
            <v>Grand Total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</row>
        <row r="463">
          <cell r="C463" t="str">
            <v>CHECKING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</row>
        <row r="464">
          <cell r="C464" t="str">
            <v>DIFFERENCE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</row>
      </sheetData>
      <sheetData sheetId="20" refreshError="1"/>
      <sheetData sheetId="21" refreshError="1"/>
      <sheetData sheetId="22" refreshError="1"/>
      <sheetData sheetId="23">
        <row r="5">
          <cell r="A5" t="str">
            <v>ID#</v>
          </cell>
        </row>
      </sheetData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B2A3-4A41-4EEA-85F2-5B5153197701}">
  <sheetPr>
    <tabColor rgb="FF0000CC"/>
  </sheetPr>
  <dimension ref="A1:EK17"/>
  <sheetViews>
    <sheetView zoomScale="85" zoomScaleNormal="85" workbookViewId="0">
      <pane xSplit="5" ySplit="8" topLeftCell="F9" activePane="bottomRight" state="frozen"/>
      <selection pane="bottomRight" activeCell="E35" sqref="E35"/>
      <selection pane="bottomLeft" activeCell="A9" sqref="A9"/>
      <selection pane="topRight" activeCell="F1" sqref="F1"/>
    </sheetView>
  </sheetViews>
  <sheetFormatPr defaultColWidth="10.7109375" defaultRowHeight="15" customHeight="1"/>
  <cols>
    <col min="1" max="1" width="10.28515625" style="100" customWidth="1"/>
    <col min="2" max="2" width="7.42578125" style="101" customWidth="1"/>
    <col min="3" max="3" width="5.5703125" style="103" customWidth="1"/>
    <col min="4" max="4" width="8" style="103" customWidth="1"/>
    <col min="5" max="5" width="20.85546875" style="104" customWidth="1"/>
    <col min="6" max="6" width="17.7109375" style="105" customWidth="1"/>
    <col min="7" max="7" width="13.140625" style="105" customWidth="1"/>
    <col min="8" max="8" width="17.28515625" style="106" customWidth="1"/>
    <col min="9" max="9" width="11.7109375" style="106" customWidth="1"/>
    <col min="10" max="10" width="12.42578125" style="107" customWidth="1"/>
    <col min="11" max="11" width="15.5703125" style="106" customWidth="1"/>
    <col min="12" max="12" width="14.7109375" style="108" customWidth="1"/>
    <col min="13" max="13" width="13.140625" style="108" customWidth="1"/>
    <col min="14" max="14" width="15.5703125" style="108" customWidth="1"/>
    <col min="15" max="15" width="13" style="109" customWidth="1"/>
    <col min="16" max="16" width="12.140625" style="110" customWidth="1"/>
    <col min="17" max="17" width="11.42578125" style="109" customWidth="1"/>
    <col min="18" max="18" width="14.42578125" style="109" customWidth="1"/>
    <col min="19" max="19" width="12.7109375" style="110" customWidth="1"/>
    <col min="20" max="20" width="14.28515625" style="110" customWidth="1"/>
    <col min="21" max="21" width="14.85546875" style="110" customWidth="1"/>
    <col min="22" max="23" width="13.140625" style="110" customWidth="1"/>
    <col min="24" max="24" width="13.140625" style="297" customWidth="1"/>
    <col min="25" max="25" width="13.140625" style="110" customWidth="1"/>
    <col min="26" max="26" width="10.85546875" style="105" customWidth="1"/>
    <col min="27" max="27" width="11.5703125" style="105" customWidth="1"/>
    <col min="28" max="28" width="13.140625" style="105" customWidth="1"/>
    <col min="29" max="30" width="15.42578125" style="105" customWidth="1"/>
    <col min="31" max="31" width="12.42578125" style="105" customWidth="1"/>
    <col min="32" max="32" width="8" style="105" customWidth="1"/>
    <col min="33" max="33" width="14.5703125" style="105" customWidth="1"/>
    <col min="34" max="34" width="11.85546875" style="105" customWidth="1"/>
    <col min="35" max="35" width="13.7109375" style="105" customWidth="1"/>
    <col min="36" max="36" width="11.5703125" style="105" customWidth="1"/>
    <col min="37" max="37" width="13.42578125" style="110" customWidth="1"/>
    <col min="38" max="38" width="11.7109375" style="110" customWidth="1"/>
    <col min="39" max="39" width="10.42578125" style="110" customWidth="1"/>
    <col min="40" max="40" width="13.5703125" style="105" customWidth="1"/>
    <col min="41" max="41" width="13.5703125" style="110" customWidth="1"/>
    <col min="42" max="43" width="13.5703125" style="105" customWidth="1"/>
    <col min="44" max="44" width="11" style="105" customWidth="1"/>
    <col min="45" max="45" width="14" style="105" customWidth="1"/>
    <col min="46" max="49" width="11" style="105" customWidth="1"/>
    <col min="50" max="50" width="12.42578125" style="105" customWidth="1"/>
    <col min="51" max="51" width="15" style="105" customWidth="1"/>
    <col min="52" max="52" width="10.5703125" style="105" customWidth="1"/>
    <col min="53" max="53" width="11.85546875" style="105" customWidth="1"/>
    <col min="54" max="54" width="14.42578125" style="105" customWidth="1"/>
    <col min="55" max="55" width="13.7109375" style="105" customWidth="1"/>
    <col min="56" max="56" width="13.5703125" style="105" customWidth="1"/>
    <col min="57" max="57" width="12" style="105" customWidth="1"/>
    <col min="58" max="58" width="11.7109375" style="105" customWidth="1"/>
    <col min="59" max="59" width="12.85546875" style="105" customWidth="1"/>
    <col min="60" max="60" width="12.7109375" style="105" customWidth="1"/>
    <col min="61" max="61" width="26.42578125" style="105" customWidth="1"/>
    <col min="62" max="62" width="13" style="105" customWidth="1"/>
    <col min="63" max="63" width="16.140625" style="105" customWidth="1"/>
    <col min="64" max="64" width="13.140625" style="105" customWidth="1"/>
    <col min="65" max="65" width="10" style="105" hidden="1" customWidth="1"/>
    <col min="66" max="66" width="12.140625" style="105" hidden="1" customWidth="1"/>
    <col min="67" max="67" width="18.140625" style="105" customWidth="1"/>
    <col min="68" max="68" width="21.42578125" style="105" hidden="1" customWidth="1"/>
    <col min="69" max="69" width="12" style="105" hidden="1" customWidth="1"/>
    <col min="70" max="70" width="12.28515625" style="110" hidden="1" customWidth="1"/>
    <col min="71" max="71" width="11.7109375" style="105" hidden="1" customWidth="1"/>
    <col min="72" max="72" width="11.5703125" style="105" hidden="1" customWidth="1"/>
    <col min="73" max="74" width="11" style="110" hidden="1" customWidth="1"/>
    <col min="75" max="76" width="12.5703125" style="110" hidden="1" customWidth="1"/>
    <col min="77" max="77" width="12.140625" style="110" hidden="1" customWidth="1"/>
    <col min="78" max="78" width="12.42578125" style="110" hidden="1" customWidth="1"/>
    <col min="79" max="79" width="12.28515625" style="110" hidden="1" customWidth="1"/>
    <col min="80" max="80" width="11.28515625" style="110" hidden="1" customWidth="1"/>
    <col min="81" max="82" width="11.140625" style="110" hidden="1" customWidth="1"/>
    <col min="83" max="83" width="12.140625" style="110" hidden="1" customWidth="1"/>
    <col min="84" max="84" width="12.42578125" style="110" hidden="1" customWidth="1"/>
    <col min="85" max="85" width="12.28515625" style="110" hidden="1" customWidth="1"/>
    <col min="86" max="86" width="13.42578125" style="110" hidden="1" customWidth="1"/>
    <col min="87" max="87" width="21.28515625" style="114" hidden="1" customWidth="1"/>
    <col min="88" max="88" width="15.5703125" style="103" hidden="1" customWidth="1"/>
    <col min="89" max="89" width="15.85546875" style="114" hidden="1" customWidth="1"/>
    <col min="90" max="90" width="16.42578125" style="103" hidden="1" customWidth="1"/>
    <col min="91" max="91" width="13.42578125" style="103" hidden="1" customWidth="1"/>
    <col min="92" max="92" width="8.140625" style="101" hidden="1" customWidth="1"/>
    <col min="93" max="93" width="26.85546875" style="105" hidden="1" customWidth="1"/>
    <col min="94" max="94" width="17.7109375" style="116" hidden="1" customWidth="1"/>
    <col min="95" max="95" width="18.140625" style="105" hidden="1" customWidth="1"/>
    <col min="96" max="96" width="17.85546875" style="105" hidden="1" customWidth="1"/>
    <col min="97" max="97" width="20.140625" style="116" hidden="1" customWidth="1"/>
    <col min="98" max="98" width="15.85546875" style="105" hidden="1" customWidth="1"/>
    <col min="99" max="100" width="13.5703125" style="105" hidden="1" customWidth="1"/>
    <col min="101" max="101" width="14.140625" style="105" hidden="1" customWidth="1"/>
    <col min="102" max="102" width="13" style="105" hidden="1" customWidth="1"/>
    <col min="103" max="103" width="17.85546875" style="105" hidden="1" customWidth="1"/>
    <col min="104" max="107" width="10.7109375" style="105" hidden="1" customWidth="1"/>
    <col min="108" max="108" width="15" style="105" hidden="1" customWidth="1"/>
    <col min="109" max="109" width="14.5703125" style="105" hidden="1" customWidth="1"/>
    <col min="110" max="110" width="13.7109375" style="105" hidden="1" customWidth="1"/>
    <col min="111" max="111" width="15.5703125" style="116" hidden="1" customWidth="1"/>
    <col min="112" max="112" width="12.5703125" style="116" hidden="1" customWidth="1"/>
    <col min="113" max="113" width="15.7109375" style="105" hidden="1" customWidth="1"/>
    <col min="114" max="114" width="13.5703125" style="105" hidden="1" customWidth="1"/>
    <col min="115" max="115" width="14.85546875" style="105" hidden="1" customWidth="1"/>
    <col min="116" max="116" width="16.85546875" style="105" hidden="1" customWidth="1"/>
    <col min="117" max="117" width="16.42578125" style="105" hidden="1" customWidth="1"/>
    <col min="118" max="118" width="17.7109375" style="105" hidden="1" customWidth="1"/>
    <col min="119" max="119" width="19.28515625" style="105" hidden="1" customWidth="1"/>
    <col min="120" max="120" width="10.7109375" style="106" hidden="1" customWidth="1"/>
    <col min="121" max="121" width="18" style="105" hidden="1" customWidth="1"/>
    <col min="122" max="122" width="19.28515625" style="105" hidden="1" customWidth="1"/>
    <col min="123" max="123" width="14.85546875" style="105" hidden="1" customWidth="1"/>
    <col min="124" max="124" width="10.7109375" style="105" hidden="1" customWidth="1"/>
    <col min="125" max="125" width="16" style="105" hidden="1" customWidth="1"/>
    <col min="126" max="126" width="12.7109375" style="105" hidden="1" customWidth="1"/>
    <col min="127" max="130" width="10.7109375" style="105" hidden="1" customWidth="1"/>
    <col min="131" max="131" width="18" style="105" hidden="1" customWidth="1"/>
    <col min="132" max="132" width="15.42578125" style="105" hidden="1" customWidth="1"/>
    <col min="133" max="133" width="15.28515625" style="105" hidden="1" customWidth="1"/>
    <col min="134" max="134" width="18.140625" style="105" hidden="1" customWidth="1"/>
    <col min="135" max="139" width="10.7109375" style="117" customWidth="1"/>
    <col min="140" max="140" width="13.7109375" style="117" bestFit="1" customWidth="1"/>
    <col min="141" max="16384" width="10.7109375" style="117"/>
  </cols>
  <sheetData>
    <row r="1" spans="1:141" ht="15" customHeight="1">
      <c r="C1" s="102" t="s">
        <v>0</v>
      </c>
      <c r="T1" s="111"/>
      <c r="U1" s="111"/>
      <c r="V1" s="111"/>
      <c r="W1" s="111"/>
      <c r="X1" s="111"/>
      <c r="Y1" s="111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1"/>
      <c r="AL1" s="111"/>
      <c r="AM1" s="111"/>
      <c r="AN1" s="112"/>
      <c r="AO1" s="111"/>
      <c r="AP1" s="112"/>
      <c r="AQ1" s="112"/>
      <c r="CD1" s="113"/>
      <c r="CE1" s="113"/>
      <c r="CF1" s="113"/>
      <c r="CN1" s="115" t="s">
        <v>0</v>
      </c>
    </row>
    <row r="2" spans="1:141" ht="15" customHeight="1">
      <c r="C2" s="118" t="s">
        <v>1</v>
      </c>
      <c r="D2" s="115"/>
      <c r="F2" s="119" t="s">
        <v>2</v>
      </c>
      <c r="G2" s="115"/>
      <c r="K2" s="120"/>
      <c r="N2" s="121" t="s">
        <v>3</v>
      </c>
      <c r="O2" s="122"/>
      <c r="P2" s="111"/>
      <c r="T2" s="111">
        <v>1</v>
      </c>
      <c r="U2" s="123">
        <v>1.3</v>
      </c>
      <c r="V2" s="123">
        <v>1.9</v>
      </c>
      <c r="W2" s="124">
        <v>1.3</v>
      </c>
      <c r="X2" s="112"/>
      <c r="Y2" s="111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1"/>
      <c r="AL2" s="123"/>
      <c r="AM2" s="123">
        <v>1.3</v>
      </c>
      <c r="AN2" s="123">
        <v>1.3</v>
      </c>
      <c r="AO2" s="123">
        <v>1.5</v>
      </c>
      <c r="AP2" s="123">
        <v>2.2999999999999998</v>
      </c>
      <c r="AQ2" s="112"/>
      <c r="AY2" s="116"/>
      <c r="AZ2" s="116"/>
      <c r="BN2" s="116"/>
      <c r="CN2" s="125" t="s">
        <v>4</v>
      </c>
      <c r="DI2" s="105" t="s">
        <v>5</v>
      </c>
    </row>
    <row r="3" spans="1:141" ht="15" customHeight="1">
      <c r="C3" s="126" t="str">
        <f>VLOOKUP(F2,'[1]DATE lookup'!E:H,4,FALSE)</f>
        <v>(11 - 25 AUG, 2023)</v>
      </c>
      <c r="F3" s="115"/>
      <c r="G3" s="115"/>
      <c r="K3" s="120"/>
      <c r="N3" s="121" t="s">
        <v>6</v>
      </c>
      <c r="O3" s="127"/>
      <c r="P3" s="127"/>
      <c r="Q3" s="128"/>
      <c r="R3" s="128"/>
      <c r="S3" s="128"/>
      <c r="T3" s="111"/>
      <c r="U3" s="111"/>
      <c r="V3" s="111"/>
      <c r="W3" s="111"/>
      <c r="X3" s="111"/>
      <c r="Y3" s="111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1"/>
      <c r="AL3" s="123"/>
      <c r="AM3" s="123" t="s">
        <v>7</v>
      </c>
      <c r="AN3" s="123">
        <v>1.9</v>
      </c>
      <c r="AO3" s="123"/>
      <c r="AP3" s="123">
        <v>2.9</v>
      </c>
      <c r="AQ3" s="112"/>
      <c r="AY3" s="116"/>
      <c r="AZ3" s="116"/>
      <c r="BK3" s="112"/>
      <c r="BL3" s="112"/>
      <c r="BM3" s="112"/>
      <c r="BN3" s="129" t="s">
        <v>8</v>
      </c>
      <c r="BO3" s="112"/>
      <c r="BP3" s="112"/>
      <c r="BQ3" s="112"/>
      <c r="BR3" s="111"/>
      <c r="BS3" s="130" t="str">
        <f>LEFT($F$2,2)</f>
        <v>30</v>
      </c>
      <c r="BT3" s="130" t="str">
        <f t="shared" ref="BT3:BZ3" si="0">LEFT($F$2,2)</f>
        <v>30</v>
      </c>
      <c r="BU3" s="130" t="str">
        <f t="shared" si="0"/>
        <v>30</v>
      </c>
      <c r="BV3" s="130"/>
      <c r="BW3" s="130" t="str">
        <f t="shared" si="0"/>
        <v>30</v>
      </c>
      <c r="BX3" s="130"/>
      <c r="BY3" s="130" t="str">
        <f t="shared" si="0"/>
        <v>30</v>
      </c>
      <c r="BZ3" s="130" t="str">
        <f t="shared" si="0"/>
        <v>30</v>
      </c>
      <c r="CN3" s="115" t="s">
        <v>9</v>
      </c>
      <c r="DI3" s="131" t="str">
        <f t="shared" ref="DI3:DL3" si="1">LEFT($F$2,2)</f>
        <v>30</v>
      </c>
      <c r="DJ3" s="131" t="str">
        <f t="shared" si="1"/>
        <v>30</v>
      </c>
      <c r="DK3" s="131" t="str">
        <f t="shared" si="1"/>
        <v>30</v>
      </c>
      <c r="DL3" s="131" t="str">
        <f t="shared" si="1"/>
        <v>30</v>
      </c>
    </row>
    <row r="4" spans="1:141" ht="15" customHeight="1">
      <c r="C4" s="102"/>
      <c r="D4" s="105"/>
      <c r="N4" s="121"/>
      <c r="O4" s="132"/>
      <c r="P4" s="121"/>
      <c r="R4" s="133"/>
      <c r="S4" s="134"/>
      <c r="T4" s="130"/>
      <c r="U4" s="135"/>
      <c r="V4" s="135"/>
      <c r="W4" s="129"/>
      <c r="X4" s="136"/>
      <c r="Y4" s="111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1"/>
      <c r="AL4" s="123"/>
      <c r="AM4" s="123" t="s">
        <v>10</v>
      </c>
      <c r="AN4" s="137">
        <v>5</v>
      </c>
      <c r="AO4" s="123"/>
      <c r="AP4" s="112"/>
      <c r="AQ4" s="112"/>
      <c r="AY4" s="116"/>
      <c r="AZ4" s="116"/>
      <c r="BN4" s="116"/>
      <c r="BS4" s="120"/>
      <c r="BT4" s="120"/>
      <c r="BU4" s="120"/>
      <c r="BV4" s="120"/>
      <c r="BW4" s="120"/>
      <c r="BX4" s="120"/>
      <c r="BY4" s="120"/>
      <c r="BZ4" s="120"/>
      <c r="CN4" s="115"/>
    </row>
    <row r="5" spans="1:141" ht="17.25" customHeight="1">
      <c r="B5" s="105"/>
      <c r="C5" s="106"/>
      <c r="D5" s="105"/>
      <c r="E5" s="105"/>
      <c r="I5" s="138"/>
      <c r="K5" s="120"/>
      <c r="N5" s="139" t="s">
        <v>11</v>
      </c>
      <c r="O5" s="140">
        <v>116</v>
      </c>
      <c r="P5" s="141" t="s">
        <v>12</v>
      </c>
      <c r="S5" s="142"/>
      <c r="T5" s="143"/>
      <c r="U5" s="142"/>
      <c r="V5" s="143"/>
      <c r="W5" s="143"/>
      <c r="X5" s="144"/>
      <c r="Y5" s="142"/>
      <c r="Z5" s="106"/>
      <c r="AA5" s="106"/>
      <c r="AB5" s="145"/>
      <c r="AC5" s="145"/>
      <c r="AD5" s="145"/>
      <c r="AE5" s="145"/>
      <c r="AF5" s="145"/>
      <c r="AG5" s="106"/>
      <c r="AH5" s="106"/>
      <c r="AI5" s="146" t="s">
        <v>13</v>
      </c>
      <c r="AJ5" s="146"/>
      <c r="AK5" s="146" t="s">
        <v>14</v>
      </c>
      <c r="AL5" s="146" t="s">
        <v>15</v>
      </c>
      <c r="AM5" s="146" t="s">
        <v>16</v>
      </c>
      <c r="AN5" s="146" t="s">
        <v>17</v>
      </c>
      <c r="AO5" s="146" t="s">
        <v>18</v>
      </c>
      <c r="AP5" s="146" t="s">
        <v>19</v>
      </c>
      <c r="AQ5" s="146" t="s">
        <v>20</v>
      </c>
      <c r="AR5" s="146" t="s">
        <v>21</v>
      </c>
      <c r="AS5" s="146"/>
      <c r="AT5" s="146"/>
      <c r="AU5" s="146"/>
      <c r="AV5" s="146"/>
      <c r="AW5" s="146" t="s">
        <v>22</v>
      </c>
      <c r="AX5" s="146" t="s">
        <v>23</v>
      </c>
      <c r="AY5" s="146" t="s">
        <v>24</v>
      </c>
      <c r="AZ5" s="146"/>
      <c r="BA5" s="146" t="s">
        <v>25</v>
      </c>
      <c r="BB5" s="146"/>
      <c r="BC5" s="146" t="s">
        <v>26</v>
      </c>
      <c r="BD5" s="146" t="s">
        <v>27</v>
      </c>
      <c r="BE5" s="146" t="s">
        <v>28</v>
      </c>
      <c r="BF5" s="146" t="s">
        <v>29</v>
      </c>
      <c r="BG5" s="146" t="s">
        <v>30</v>
      </c>
      <c r="BH5" s="146" t="s">
        <v>31</v>
      </c>
      <c r="BI5" s="146"/>
      <c r="BJ5" s="146"/>
      <c r="BK5" s="146"/>
      <c r="BL5" s="146"/>
      <c r="BM5" s="146"/>
      <c r="BN5" s="146" t="s">
        <v>32</v>
      </c>
      <c r="BO5" s="146"/>
      <c r="BP5" s="146" t="s">
        <v>33</v>
      </c>
      <c r="BQ5" s="146"/>
      <c r="BR5" s="146" t="s">
        <v>34</v>
      </c>
      <c r="BS5" s="146" t="s">
        <v>35</v>
      </c>
      <c r="BT5" s="146" t="s">
        <v>36</v>
      </c>
      <c r="BU5" s="146" t="s">
        <v>37</v>
      </c>
      <c r="BV5" s="146"/>
      <c r="BW5" s="146" t="s">
        <v>38</v>
      </c>
      <c r="BX5" s="146"/>
      <c r="BY5" s="146" t="s">
        <v>39</v>
      </c>
      <c r="BZ5" s="146" t="s">
        <v>40</v>
      </c>
      <c r="CA5" s="146" t="s">
        <v>41</v>
      </c>
      <c r="CB5" s="146"/>
      <c r="CC5" s="146"/>
      <c r="CD5" s="146" t="s">
        <v>42</v>
      </c>
      <c r="CE5" s="146" t="s">
        <v>43</v>
      </c>
      <c r="CF5" s="146" t="s">
        <v>44</v>
      </c>
      <c r="CG5" s="146" t="s">
        <v>45</v>
      </c>
      <c r="CH5" s="146" t="s">
        <v>46</v>
      </c>
      <c r="CI5" s="147" t="s">
        <v>47</v>
      </c>
      <c r="CJ5" s="148" t="s">
        <v>48</v>
      </c>
      <c r="CK5" s="147"/>
      <c r="CQ5" s="116" t="s">
        <v>49</v>
      </c>
      <c r="DW5" s="149">
        <f>L5*1.8</f>
        <v>0</v>
      </c>
      <c r="DX5" s="150">
        <v>90000</v>
      </c>
      <c r="DY5" s="151">
        <f>IF(DW5&gt;DX5,DW5-DX5,0)</f>
        <v>0</v>
      </c>
      <c r="DZ5" s="152">
        <f>DY5/24</f>
        <v>0</v>
      </c>
    </row>
    <row r="6" spans="1:141" s="158" customFormat="1" ht="15" customHeight="1" thickBot="1">
      <c r="A6" s="153"/>
      <c r="B6" s="154" t="s">
        <v>50</v>
      </c>
      <c r="C6" s="155"/>
      <c r="D6" s="156">
        <v>1</v>
      </c>
      <c r="E6" s="157">
        <v>2</v>
      </c>
      <c r="F6" s="156">
        <v>3</v>
      </c>
      <c r="G6" s="157">
        <v>4</v>
      </c>
      <c r="H6" s="156">
        <v>5</v>
      </c>
      <c r="I6" s="157">
        <v>6</v>
      </c>
      <c r="J6" s="156">
        <v>7</v>
      </c>
      <c r="K6" s="157">
        <v>8</v>
      </c>
      <c r="L6" s="156">
        <v>9</v>
      </c>
      <c r="M6" s="157">
        <v>10</v>
      </c>
      <c r="N6" s="156">
        <v>11</v>
      </c>
      <c r="O6" s="157">
        <v>12</v>
      </c>
      <c r="P6" s="156">
        <v>13</v>
      </c>
      <c r="Q6" s="157">
        <v>14</v>
      </c>
      <c r="R6" s="156">
        <v>15</v>
      </c>
      <c r="S6" s="157">
        <v>16</v>
      </c>
      <c r="T6" s="156">
        <v>17</v>
      </c>
      <c r="U6" s="157">
        <v>18</v>
      </c>
      <c r="V6" s="156">
        <v>19</v>
      </c>
      <c r="W6" s="157">
        <v>20</v>
      </c>
      <c r="X6" s="156">
        <v>21</v>
      </c>
      <c r="Y6" s="157">
        <v>22</v>
      </c>
      <c r="Z6" s="156">
        <v>23</v>
      </c>
      <c r="AA6" s="157">
        <v>24</v>
      </c>
      <c r="AB6" s="156">
        <v>25</v>
      </c>
      <c r="AC6" s="157">
        <v>26</v>
      </c>
      <c r="AD6" s="156">
        <v>27</v>
      </c>
      <c r="AE6" s="157">
        <v>28</v>
      </c>
      <c r="AF6" s="156">
        <v>29</v>
      </c>
      <c r="AG6" s="157">
        <v>30</v>
      </c>
      <c r="AH6" s="156">
        <v>31</v>
      </c>
      <c r="AI6" s="157">
        <v>32</v>
      </c>
      <c r="AJ6" s="156">
        <v>33</v>
      </c>
      <c r="AK6" s="157">
        <v>34</v>
      </c>
      <c r="AL6" s="156">
        <v>35</v>
      </c>
      <c r="AM6" s="157">
        <v>36</v>
      </c>
      <c r="AN6" s="156">
        <v>37</v>
      </c>
      <c r="AO6" s="157">
        <v>38</v>
      </c>
      <c r="AP6" s="156">
        <v>39</v>
      </c>
      <c r="AQ6" s="157">
        <v>40</v>
      </c>
      <c r="AR6" s="156">
        <v>41</v>
      </c>
      <c r="AS6" s="157">
        <v>42</v>
      </c>
      <c r="AT6" s="156">
        <v>43</v>
      </c>
      <c r="AU6" s="157">
        <v>44</v>
      </c>
      <c r="AV6" s="156">
        <v>45</v>
      </c>
      <c r="AW6" s="157">
        <v>46</v>
      </c>
      <c r="AX6" s="156">
        <v>47</v>
      </c>
      <c r="AY6" s="157">
        <v>48</v>
      </c>
      <c r="AZ6" s="156">
        <v>49</v>
      </c>
      <c r="BA6" s="157">
        <v>50</v>
      </c>
      <c r="BB6" s="156">
        <v>51</v>
      </c>
      <c r="BC6" s="157">
        <v>52</v>
      </c>
      <c r="BD6" s="156">
        <v>53</v>
      </c>
      <c r="BE6" s="157">
        <v>54</v>
      </c>
      <c r="BF6" s="156">
        <v>55</v>
      </c>
      <c r="BG6" s="157">
        <v>56</v>
      </c>
      <c r="BH6" s="156">
        <v>57</v>
      </c>
      <c r="BI6" s="157">
        <v>58</v>
      </c>
      <c r="BJ6" s="156">
        <v>59</v>
      </c>
      <c r="BK6" s="157">
        <v>60</v>
      </c>
      <c r="BL6" s="156">
        <v>61</v>
      </c>
      <c r="BM6" s="157">
        <v>62</v>
      </c>
      <c r="BN6" s="156">
        <v>63</v>
      </c>
      <c r="BO6" s="157">
        <v>64</v>
      </c>
      <c r="BP6" s="156">
        <v>65</v>
      </c>
      <c r="BQ6" s="157">
        <v>66</v>
      </c>
      <c r="BR6" s="156">
        <v>67</v>
      </c>
      <c r="BS6" s="157">
        <v>68</v>
      </c>
      <c r="BT6" s="156">
        <v>69</v>
      </c>
      <c r="BU6" s="157">
        <v>70</v>
      </c>
      <c r="BV6" s="156">
        <v>71</v>
      </c>
      <c r="BW6" s="157">
        <v>72</v>
      </c>
      <c r="BX6" s="156">
        <v>73</v>
      </c>
      <c r="BY6" s="157">
        <v>74</v>
      </c>
      <c r="BZ6" s="156">
        <v>75</v>
      </c>
      <c r="CA6" s="157">
        <v>76</v>
      </c>
      <c r="CB6" s="156">
        <v>77</v>
      </c>
      <c r="CC6" s="157">
        <v>78</v>
      </c>
      <c r="CD6" s="156">
        <v>79</v>
      </c>
      <c r="CE6" s="157">
        <v>80</v>
      </c>
      <c r="CF6" s="156">
        <v>81</v>
      </c>
      <c r="CG6" s="157">
        <v>82</v>
      </c>
      <c r="CH6" s="156">
        <v>83</v>
      </c>
      <c r="CI6" s="157">
        <v>84</v>
      </c>
      <c r="CJ6" s="156">
        <v>85</v>
      </c>
      <c r="CK6" s="157">
        <v>86</v>
      </c>
      <c r="CL6" s="156">
        <v>87</v>
      </c>
      <c r="CM6" s="157">
        <v>88</v>
      </c>
      <c r="CN6" s="156">
        <v>89</v>
      </c>
      <c r="CO6" s="157">
        <v>90</v>
      </c>
      <c r="CP6" s="156">
        <v>91</v>
      </c>
      <c r="CQ6" s="157">
        <v>92</v>
      </c>
      <c r="CR6" s="156">
        <v>93</v>
      </c>
      <c r="CS6" s="157">
        <v>94</v>
      </c>
      <c r="CT6" s="156">
        <v>95</v>
      </c>
      <c r="CU6" s="157">
        <v>96</v>
      </c>
      <c r="CV6" s="156">
        <v>97</v>
      </c>
      <c r="CW6" s="157">
        <v>98</v>
      </c>
      <c r="CX6" s="156">
        <v>99</v>
      </c>
      <c r="CY6" s="157">
        <v>100</v>
      </c>
      <c r="CZ6" s="156">
        <v>101</v>
      </c>
      <c r="DA6" s="157">
        <v>102</v>
      </c>
      <c r="DB6" s="156">
        <v>103</v>
      </c>
      <c r="DC6" s="157">
        <v>104</v>
      </c>
      <c r="DD6" s="156">
        <v>105</v>
      </c>
      <c r="DE6" s="157">
        <v>106</v>
      </c>
      <c r="DF6" s="156">
        <v>107</v>
      </c>
      <c r="DG6" s="157">
        <v>108</v>
      </c>
      <c r="DH6" s="156">
        <v>109</v>
      </c>
      <c r="DI6" s="157">
        <v>110</v>
      </c>
      <c r="DJ6" s="156">
        <v>111</v>
      </c>
      <c r="DK6" s="157">
        <v>112</v>
      </c>
      <c r="DL6" s="156">
        <v>113</v>
      </c>
      <c r="DM6" s="157">
        <v>114</v>
      </c>
      <c r="DN6" s="156">
        <v>115</v>
      </c>
      <c r="DO6" s="157">
        <v>116</v>
      </c>
      <c r="DP6" s="156">
        <v>117</v>
      </c>
      <c r="DQ6" s="157">
        <v>118</v>
      </c>
      <c r="DR6" s="156">
        <v>119</v>
      </c>
      <c r="DS6" s="157">
        <v>120</v>
      </c>
      <c r="DT6" s="156">
        <v>121</v>
      </c>
      <c r="DU6" s="157">
        <v>122</v>
      </c>
      <c r="DV6" s="156">
        <v>123</v>
      </c>
      <c r="DW6" s="157">
        <v>124</v>
      </c>
      <c r="DX6" s="156">
        <v>125</v>
      </c>
      <c r="DY6" s="157">
        <v>126</v>
      </c>
      <c r="DZ6" s="156">
        <v>127</v>
      </c>
      <c r="EA6" s="157">
        <v>128</v>
      </c>
      <c r="EB6" s="156">
        <v>129</v>
      </c>
      <c r="EC6" s="157">
        <v>130</v>
      </c>
      <c r="ED6" s="156">
        <v>131</v>
      </c>
    </row>
    <row r="7" spans="1:141" ht="18.75" customHeight="1" thickBot="1">
      <c r="B7" s="159"/>
      <c r="C7" s="160"/>
      <c r="D7" s="160"/>
      <c r="E7" s="161"/>
      <c r="F7" s="162"/>
      <c r="G7" s="162"/>
      <c r="H7" s="161"/>
      <c r="I7" s="161"/>
      <c r="J7" s="163"/>
      <c r="K7" s="164"/>
      <c r="L7" s="165"/>
      <c r="M7" s="165"/>
      <c r="N7" s="165"/>
      <c r="O7" s="166"/>
      <c r="P7" s="308" t="s">
        <v>51</v>
      </c>
      <c r="Q7" s="309"/>
      <c r="R7" s="309"/>
      <c r="S7" s="309"/>
      <c r="T7" s="309"/>
      <c r="U7" s="309"/>
      <c r="V7" s="309"/>
      <c r="W7" s="309"/>
      <c r="X7" s="310"/>
      <c r="Y7" s="309"/>
      <c r="Z7" s="309"/>
      <c r="AA7" s="311"/>
      <c r="AB7" s="167"/>
      <c r="AC7" s="167"/>
      <c r="AD7" s="167"/>
      <c r="AE7" s="167"/>
      <c r="AF7" s="167"/>
      <c r="AG7" s="312" t="s">
        <v>52</v>
      </c>
      <c r="AH7" s="313"/>
      <c r="AI7" s="313"/>
      <c r="AJ7" s="313"/>
      <c r="AK7" s="313"/>
      <c r="AL7" s="313"/>
      <c r="AM7" s="313"/>
      <c r="AN7" s="313"/>
      <c r="AO7" s="313"/>
      <c r="AP7" s="313"/>
      <c r="AQ7" s="313"/>
      <c r="AR7" s="313"/>
      <c r="AS7" s="313"/>
      <c r="AT7" s="313"/>
      <c r="AU7" s="313"/>
      <c r="AV7" s="313"/>
      <c r="AW7" s="313"/>
      <c r="AX7" s="313"/>
      <c r="AY7" s="313"/>
      <c r="AZ7" s="313"/>
      <c r="BA7" s="313"/>
      <c r="BB7" s="314"/>
      <c r="BC7" s="315">
        <v>0</v>
      </c>
      <c r="BD7" s="316"/>
      <c r="BE7" s="316"/>
      <c r="BF7" s="316"/>
      <c r="BG7" s="316"/>
      <c r="BH7" s="316"/>
      <c r="BI7" s="316"/>
      <c r="BJ7" s="316"/>
      <c r="BK7" s="316"/>
      <c r="BL7" s="316"/>
      <c r="BM7" s="316"/>
      <c r="BN7" s="316"/>
      <c r="BO7" s="317"/>
      <c r="BP7" s="168"/>
      <c r="BQ7" s="169"/>
      <c r="BR7" s="170"/>
      <c r="BS7" s="305" t="s">
        <v>53</v>
      </c>
      <c r="BT7" s="306"/>
      <c r="BU7" s="307"/>
      <c r="BV7" s="171"/>
      <c r="BW7" s="305" t="s">
        <v>54</v>
      </c>
      <c r="BX7" s="306"/>
      <c r="BY7" s="306"/>
      <c r="BZ7" s="307"/>
      <c r="CA7" s="305" t="s">
        <v>55</v>
      </c>
      <c r="CB7" s="306"/>
      <c r="CC7" s="306"/>
      <c r="CD7" s="307"/>
      <c r="CE7" s="305" t="s">
        <v>56</v>
      </c>
      <c r="CF7" s="306"/>
      <c r="CG7" s="307"/>
      <c r="CH7" s="172"/>
      <c r="CI7" s="173"/>
      <c r="CJ7" s="172"/>
      <c r="CK7" s="174"/>
      <c r="CL7" s="102"/>
      <c r="CM7" s="102"/>
      <c r="CQ7" s="175" t="s">
        <v>57</v>
      </c>
      <c r="CT7" s="176" t="s">
        <v>58</v>
      </c>
      <c r="CU7" s="176"/>
      <c r="CV7" s="176"/>
      <c r="CW7" s="176"/>
      <c r="CX7" s="176"/>
      <c r="CY7" s="176"/>
      <c r="CZ7" s="177" t="s">
        <v>59</v>
      </c>
      <c r="DA7" s="177"/>
      <c r="DB7" s="177"/>
      <c r="DC7" s="177"/>
      <c r="DD7" s="177"/>
      <c r="DE7" s="178" t="s">
        <v>60</v>
      </c>
      <c r="DF7" s="178"/>
      <c r="DG7" s="179"/>
      <c r="DH7" s="179"/>
      <c r="DI7" s="180" t="s">
        <v>61</v>
      </c>
      <c r="DJ7" s="180"/>
      <c r="DK7" s="181"/>
      <c r="DL7" s="181"/>
      <c r="DM7" s="175" t="s">
        <v>62</v>
      </c>
      <c r="DN7" s="175"/>
      <c r="DO7" s="175"/>
      <c r="DP7" s="182"/>
      <c r="DQ7" s="175"/>
      <c r="DR7" s="175"/>
      <c r="DS7" s="175"/>
      <c r="DT7" s="175"/>
      <c r="DU7" s="175"/>
      <c r="DV7" s="175"/>
      <c r="EA7" s="183" t="s">
        <v>63</v>
      </c>
      <c r="EB7" s="183"/>
      <c r="EC7" s="183"/>
      <c r="ED7" s="183"/>
    </row>
    <row r="8" spans="1:141" s="239" customFormat="1" ht="53.25" customHeight="1" thickBot="1">
      <c r="A8" s="184" t="s">
        <v>64</v>
      </c>
      <c r="B8" s="185" t="s">
        <v>65</v>
      </c>
      <c r="C8" s="186" t="s">
        <v>66</v>
      </c>
      <c r="D8" s="186" t="s">
        <v>67</v>
      </c>
      <c r="E8" s="187" t="s">
        <v>68</v>
      </c>
      <c r="F8" s="187" t="s">
        <v>69</v>
      </c>
      <c r="G8" s="187" t="s">
        <v>70</v>
      </c>
      <c r="H8" s="188" t="s">
        <v>71</v>
      </c>
      <c r="I8" s="188" t="s">
        <v>72</v>
      </c>
      <c r="J8" s="163" t="s">
        <v>73</v>
      </c>
      <c r="K8" s="185" t="s">
        <v>74</v>
      </c>
      <c r="L8" s="189" t="s">
        <v>75</v>
      </c>
      <c r="M8" s="189" t="s">
        <v>76</v>
      </c>
      <c r="N8" s="189" t="s">
        <v>77</v>
      </c>
      <c r="O8" s="190" t="s">
        <v>78</v>
      </c>
      <c r="P8" s="191" t="s">
        <v>79</v>
      </c>
      <c r="Q8" s="192" t="s">
        <v>80</v>
      </c>
      <c r="R8" s="193" t="s">
        <v>81</v>
      </c>
      <c r="S8" s="194" t="s">
        <v>82</v>
      </c>
      <c r="T8" s="194" t="s">
        <v>83</v>
      </c>
      <c r="U8" s="194" t="s">
        <v>84</v>
      </c>
      <c r="V8" s="195" t="s">
        <v>85</v>
      </c>
      <c r="W8" s="196" t="s">
        <v>86</v>
      </c>
      <c r="X8" s="197" t="s">
        <v>87</v>
      </c>
      <c r="Y8" s="197" t="s">
        <v>88</v>
      </c>
      <c r="Z8" s="197" t="s">
        <v>89</v>
      </c>
      <c r="AA8" s="198" t="s">
        <v>90</v>
      </c>
      <c r="AB8" s="198" t="s">
        <v>91</v>
      </c>
      <c r="AC8" s="198" t="s">
        <v>92</v>
      </c>
      <c r="AD8" s="199" t="s">
        <v>93</v>
      </c>
      <c r="AE8" s="199" t="s">
        <v>94</v>
      </c>
      <c r="AF8" s="200" t="s">
        <v>95</v>
      </c>
      <c r="AG8" s="201" t="s">
        <v>96</v>
      </c>
      <c r="AH8" s="197" t="s">
        <v>97</v>
      </c>
      <c r="AI8" s="197" t="s">
        <v>98</v>
      </c>
      <c r="AJ8" s="202" t="s">
        <v>99</v>
      </c>
      <c r="AK8" s="202" t="s">
        <v>100</v>
      </c>
      <c r="AL8" s="197" t="s">
        <v>101</v>
      </c>
      <c r="AM8" s="197" t="s">
        <v>102</v>
      </c>
      <c r="AN8" s="203" t="s">
        <v>103</v>
      </c>
      <c r="AO8" s="203" t="s">
        <v>104</v>
      </c>
      <c r="AP8" s="197" t="s">
        <v>105</v>
      </c>
      <c r="AQ8" s="200" t="s">
        <v>106</v>
      </c>
      <c r="AR8" s="201" t="s">
        <v>107</v>
      </c>
      <c r="AS8" s="201" t="s">
        <v>108</v>
      </c>
      <c r="AT8" s="204" t="s">
        <v>109</v>
      </c>
      <c r="AU8" s="205" t="s">
        <v>110</v>
      </c>
      <c r="AV8" s="205" t="s">
        <v>111</v>
      </c>
      <c r="AW8" s="206" t="s">
        <v>112</v>
      </c>
      <c r="AX8" s="206" t="s">
        <v>113</v>
      </c>
      <c r="AY8" s="206" t="s">
        <v>114</v>
      </c>
      <c r="AZ8" s="206" t="s">
        <v>115</v>
      </c>
      <c r="BA8" s="207" t="s">
        <v>116</v>
      </c>
      <c r="BB8" s="207" t="s">
        <v>117</v>
      </c>
      <c r="BC8" s="207" t="s">
        <v>118</v>
      </c>
      <c r="BD8" s="207" t="s">
        <v>119</v>
      </c>
      <c r="BE8" s="207" t="s">
        <v>120</v>
      </c>
      <c r="BF8" s="207" t="s">
        <v>121</v>
      </c>
      <c r="BG8" s="208" t="s">
        <v>122</v>
      </c>
      <c r="BH8" s="209" t="s">
        <v>123</v>
      </c>
      <c r="BI8" s="210" t="s">
        <v>124</v>
      </c>
      <c r="BJ8" s="211" t="s">
        <v>125</v>
      </c>
      <c r="BK8" s="212" t="s">
        <v>126</v>
      </c>
      <c r="BL8" s="184" t="s">
        <v>127</v>
      </c>
      <c r="BM8" s="213" t="s">
        <v>67</v>
      </c>
      <c r="BN8" s="214" t="s">
        <v>68</v>
      </c>
      <c r="BO8" s="215" t="s">
        <v>128</v>
      </c>
      <c r="BP8" s="216" t="s">
        <v>129</v>
      </c>
      <c r="BQ8" s="217" t="s">
        <v>130</v>
      </c>
      <c r="BR8" s="218" t="s">
        <v>131</v>
      </c>
      <c r="BS8" s="219" t="s">
        <v>58</v>
      </c>
      <c r="BT8" s="220" t="s">
        <v>58</v>
      </c>
      <c r="BU8" s="220" t="s">
        <v>58</v>
      </c>
      <c r="BV8" s="220" t="s">
        <v>58</v>
      </c>
      <c r="BW8" s="220" t="s">
        <v>58</v>
      </c>
      <c r="BX8" s="298" t="s">
        <v>132</v>
      </c>
      <c r="BY8" s="299" t="s">
        <v>133</v>
      </c>
      <c r="BZ8" s="222" t="s">
        <v>133</v>
      </c>
      <c r="CA8" s="222" t="s">
        <v>133</v>
      </c>
      <c r="CB8" s="222" t="s">
        <v>133</v>
      </c>
      <c r="CC8" s="300" t="s">
        <v>134</v>
      </c>
      <c r="CD8" s="224" t="s">
        <v>135</v>
      </c>
      <c r="CE8" s="225" t="s">
        <v>136</v>
      </c>
      <c r="CF8" s="226" t="s">
        <v>137</v>
      </c>
      <c r="CG8" s="227" t="s">
        <v>138</v>
      </c>
      <c r="CH8" s="191" t="s">
        <v>139</v>
      </c>
      <c r="CI8" s="191" t="s">
        <v>140</v>
      </c>
      <c r="CJ8" s="193" t="s">
        <v>114</v>
      </c>
      <c r="CK8" s="228" t="s">
        <v>115</v>
      </c>
      <c r="CL8" s="229" t="s">
        <v>141</v>
      </c>
      <c r="CM8" s="229" t="s">
        <v>142</v>
      </c>
      <c r="CN8" s="229" t="s">
        <v>141</v>
      </c>
      <c r="CO8" s="230" t="s">
        <v>143</v>
      </c>
      <c r="CP8" s="301" t="s">
        <v>144</v>
      </c>
      <c r="CQ8" s="301" t="s">
        <v>145</v>
      </c>
      <c r="CR8" s="301" t="s">
        <v>146</v>
      </c>
      <c r="CS8" s="301" t="s">
        <v>147</v>
      </c>
      <c r="CT8" s="301" t="s">
        <v>148</v>
      </c>
      <c r="CU8" s="302" t="s">
        <v>149</v>
      </c>
      <c r="CV8" s="213" t="s">
        <v>150</v>
      </c>
      <c r="CW8" s="233" t="s">
        <v>151</v>
      </c>
      <c r="CX8" s="233" t="s">
        <v>152</v>
      </c>
      <c r="CY8" s="234" t="s">
        <v>153</v>
      </c>
      <c r="CZ8" s="298" t="s">
        <v>154</v>
      </c>
      <c r="DA8" s="300" t="s">
        <v>155</v>
      </c>
      <c r="DB8" s="226" t="s">
        <v>156</v>
      </c>
      <c r="DC8" s="235" t="s">
        <v>157</v>
      </c>
      <c r="DD8" s="236" t="s">
        <v>158</v>
      </c>
      <c r="DE8" s="237" t="s">
        <v>159</v>
      </c>
      <c r="DF8" s="237" t="s">
        <v>160</v>
      </c>
      <c r="DG8" s="238" t="s">
        <v>161</v>
      </c>
      <c r="DH8" s="227" t="s">
        <v>138</v>
      </c>
      <c r="DI8" s="191" t="s">
        <v>139</v>
      </c>
      <c r="DJ8" s="191" t="s">
        <v>140</v>
      </c>
      <c r="DK8" s="193" t="s">
        <v>114</v>
      </c>
      <c r="DL8" s="228" t="s">
        <v>115</v>
      </c>
      <c r="DM8" s="229" t="s">
        <v>141</v>
      </c>
      <c r="DN8" s="229" t="s">
        <v>142</v>
      </c>
      <c r="DO8" s="229" t="s">
        <v>141</v>
      </c>
      <c r="DP8" s="230" t="s">
        <v>143</v>
      </c>
      <c r="DQ8" s="231" t="s">
        <v>144</v>
      </c>
      <c r="DR8" s="231" t="s">
        <v>145</v>
      </c>
      <c r="DS8" s="231" t="s">
        <v>146</v>
      </c>
      <c r="DT8" s="231" t="s">
        <v>147</v>
      </c>
      <c r="DU8" s="231" t="s">
        <v>148</v>
      </c>
      <c r="DV8" s="232" t="s">
        <v>149</v>
      </c>
      <c r="DW8" s="213" t="s">
        <v>150</v>
      </c>
      <c r="DX8" s="233" t="s">
        <v>151</v>
      </c>
      <c r="DY8" s="233" t="s">
        <v>152</v>
      </c>
      <c r="DZ8" s="234" t="s">
        <v>153</v>
      </c>
      <c r="EA8" s="221" t="s">
        <v>154</v>
      </c>
      <c r="EB8" s="223" t="s">
        <v>155</v>
      </c>
      <c r="EC8" s="226" t="s">
        <v>156</v>
      </c>
      <c r="ED8" s="235" t="s">
        <v>157</v>
      </c>
    </row>
    <row r="9" spans="1:141" ht="15" customHeight="1">
      <c r="A9" s="240">
        <v>1</v>
      </c>
      <c r="B9" s="241">
        <v>1</v>
      </c>
      <c r="C9" s="242">
        <v>20</v>
      </c>
      <c r="D9" s="243">
        <v>1668</v>
      </c>
      <c r="E9" s="244" t="s">
        <v>162</v>
      </c>
      <c r="F9" s="244" t="s">
        <v>163</v>
      </c>
      <c r="G9" s="244" t="s">
        <v>164</v>
      </c>
      <c r="H9" s="245">
        <v>43413</v>
      </c>
      <c r="I9" s="246"/>
      <c r="J9" s="247" t="s">
        <v>165</v>
      </c>
      <c r="K9" s="248" t="s">
        <v>166</v>
      </c>
      <c r="L9" s="244">
        <f>N9*26.17</f>
        <v>16035.667500000001</v>
      </c>
      <c r="M9" s="244"/>
      <c r="N9" s="244">
        <v>612.75</v>
      </c>
      <c r="O9" s="244">
        <v>116</v>
      </c>
      <c r="P9" s="244">
        <v>116</v>
      </c>
      <c r="Q9" s="244">
        <v>0</v>
      </c>
      <c r="R9" s="244">
        <v>0</v>
      </c>
      <c r="S9" s="244">
        <v>0</v>
      </c>
      <c r="T9" s="244">
        <v>0</v>
      </c>
      <c r="U9" s="244">
        <v>0</v>
      </c>
      <c r="V9" s="244">
        <v>0</v>
      </c>
      <c r="W9" s="244">
        <v>8017.8337500000007</v>
      </c>
      <c r="X9" s="244">
        <v>0</v>
      </c>
      <c r="Y9" s="244">
        <v>8017.83</v>
      </c>
      <c r="Z9" s="244">
        <v>0</v>
      </c>
      <c r="AA9" s="244">
        <v>0</v>
      </c>
      <c r="AB9" s="249">
        <v>0</v>
      </c>
      <c r="AC9" s="249">
        <v>0</v>
      </c>
      <c r="AD9" s="249">
        <v>0</v>
      </c>
      <c r="AE9" s="244">
        <v>0</v>
      </c>
      <c r="AF9" s="252">
        <v>0</v>
      </c>
      <c r="AG9" s="244">
        <v>8017.83</v>
      </c>
      <c r="AH9" s="244">
        <v>0</v>
      </c>
      <c r="AI9" s="251">
        <v>144</v>
      </c>
      <c r="AJ9" s="251">
        <v>0</v>
      </c>
      <c r="AK9" s="244">
        <v>0</v>
      </c>
      <c r="AL9" s="244">
        <v>0</v>
      </c>
      <c r="AM9" s="252">
        <v>0</v>
      </c>
      <c r="AN9" s="250">
        <v>0</v>
      </c>
      <c r="AO9" s="244">
        <v>0</v>
      </c>
      <c r="AP9" s="251">
        <v>0</v>
      </c>
      <c r="AQ9" s="251">
        <v>0</v>
      </c>
      <c r="AR9" s="251">
        <v>144</v>
      </c>
      <c r="AS9" s="251">
        <v>8161.83</v>
      </c>
      <c r="AT9" s="244">
        <v>0</v>
      </c>
      <c r="AU9" s="253">
        <v>0</v>
      </c>
      <c r="AV9" s="253">
        <v>0</v>
      </c>
      <c r="AW9" s="244">
        <v>0</v>
      </c>
      <c r="AX9" s="244">
        <v>0</v>
      </c>
      <c r="AY9" s="244">
        <v>0</v>
      </c>
      <c r="AZ9" s="244">
        <v>0</v>
      </c>
      <c r="BA9" s="244">
        <v>0</v>
      </c>
      <c r="BB9" s="244">
        <v>0</v>
      </c>
      <c r="BC9" s="244">
        <v>40</v>
      </c>
      <c r="BD9" s="244">
        <v>0</v>
      </c>
      <c r="BE9" s="244">
        <v>600</v>
      </c>
      <c r="BF9" s="254">
        <v>0</v>
      </c>
      <c r="BG9" s="244">
        <v>640</v>
      </c>
      <c r="BH9" s="252">
        <v>7521.83</v>
      </c>
      <c r="BI9" s="243">
        <v>9026605917</v>
      </c>
      <c r="BJ9" s="255" t="s">
        <v>167</v>
      </c>
      <c r="BK9" s="304" t="s">
        <v>2</v>
      </c>
      <c r="BL9" s="256">
        <v>8017.83</v>
      </c>
      <c r="BM9" s="257">
        <v>1668</v>
      </c>
      <c r="BN9" s="258" t="s">
        <v>162</v>
      </c>
      <c r="BO9" s="259">
        <v>16035.667500000001</v>
      </c>
      <c r="BP9" s="258">
        <v>8161.83</v>
      </c>
      <c r="BQ9" s="303"/>
      <c r="BR9" s="260">
        <v>8161.83</v>
      </c>
      <c r="BS9" s="258">
        <v>0</v>
      </c>
      <c r="BT9" s="258">
        <v>0</v>
      </c>
      <c r="BU9" s="258">
        <v>0</v>
      </c>
      <c r="BV9" s="258">
        <v>0</v>
      </c>
      <c r="BW9" s="258">
        <v>360</v>
      </c>
      <c r="BX9" s="303">
        <v>360</v>
      </c>
      <c r="BY9" s="261"/>
      <c r="BZ9" s="133"/>
      <c r="CA9" s="262"/>
      <c r="CB9" s="263"/>
      <c r="CC9" s="263">
        <v>320.70999999999998</v>
      </c>
      <c r="CD9" s="264">
        <v>100</v>
      </c>
      <c r="CE9" s="263"/>
      <c r="CF9" s="263">
        <v>100</v>
      </c>
      <c r="CG9" s="252"/>
      <c r="CH9" s="262">
        <v>0</v>
      </c>
      <c r="CI9" s="263">
        <v>0</v>
      </c>
      <c r="CJ9" s="263">
        <v>0</v>
      </c>
      <c r="CK9" s="264">
        <v>0</v>
      </c>
      <c r="CL9" s="265">
        <v>8017.83</v>
      </c>
      <c r="CM9" s="265">
        <v>0</v>
      </c>
      <c r="CN9" s="266">
        <v>8017.83</v>
      </c>
      <c r="CO9" s="267" t="s">
        <v>168</v>
      </c>
      <c r="CP9" s="268">
        <v>0</v>
      </c>
      <c r="CQ9" s="268">
        <v>0</v>
      </c>
      <c r="CR9" s="268">
        <v>0</v>
      </c>
      <c r="CS9" s="73">
        <v>0</v>
      </c>
      <c r="CT9" s="73">
        <v>0</v>
      </c>
      <c r="CU9" s="73">
        <v>0</v>
      </c>
      <c r="CV9" s="263"/>
      <c r="CW9" s="269"/>
      <c r="CX9" s="269"/>
      <c r="CY9" s="263"/>
      <c r="CZ9" s="133">
        <v>0</v>
      </c>
      <c r="DA9" s="263">
        <v>0</v>
      </c>
      <c r="DB9" s="133">
        <v>0</v>
      </c>
      <c r="DC9" s="133">
        <v>0</v>
      </c>
      <c r="DD9" s="133">
        <v>0</v>
      </c>
      <c r="DE9" s="133">
        <v>0</v>
      </c>
      <c r="DF9" s="133"/>
      <c r="DG9" s="255"/>
      <c r="DH9" s="252"/>
      <c r="DI9" s="262">
        <f>IF(DI$3="15",SUMIF([1]Deductions!C:C,PAYROLL!D9,[1]Deductions!Q:Q),0)</f>
        <v>0</v>
      </c>
      <c r="DJ9" s="263" t="e">
        <f>IF(DJ$3="30",SUMIF([1]Deductions!C:C,PAYROLL!D9,[1]Deductions!R:R),0)</f>
        <v>#VALUE!</v>
      </c>
      <c r="DK9" s="263">
        <f>IF(DK$3="15",SUMIF([1]Deductions!C:C,PAYROLL!D9,[1]Deductions!S:S),0)</f>
        <v>0</v>
      </c>
      <c r="DL9" s="264">
        <f>IF(DL$3="15",SUMIF([1]Deductions!C:C,PAYROLL!D9,[1]Deductions!T:T),0)</f>
        <v>0</v>
      </c>
      <c r="DM9" s="265">
        <f t="shared" ref="DM9:DM11" si="2">BB9</f>
        <v>0</v>
      </c>
      <c r="DN9" s="265">
        <f t="shared" ref="DN9:DN11" si="3">-BS9-BT9-IF(BU9&gt;0,100,0)</f>
        <v>0</v>
      </c>
      <c r="DO9" s="266">
        <f t="shared" ref="DO9:DO11" si="4">BB9-BS9-BT9-IF(BU9&gt;0,100,0)</f>
        <v>0</v>
      </c>
      <c r="DP9" s="267" t="s">
        <v>168</v>
      </c>
      <c r="DQ9" s="268">
        <f t="shared" ref="DQ9:DQ11" si="5">IF(DO9&gt;333333,333333,IF(DO9&gt;83333,83333,IF(DO9&gt;33333,33333,IF(DO9&gt;16667,16667,IF(DO9&gt;10417,10417,0)))))</f>
        <v>0</v>
      </c>
      <c r="DR9" s="268">
        <f t="shared" ref="DR9:DR11" si="6">IF(DO9&gt;333333,91770.7,IF(DO9&gt;83333,16770.7,IF(DO9&gt;33333,4270.7,IF(DO9&gt;16667,937.5,IF(DO9&gt;10417,0,0)))))</f>
        <v>0</v>
      </c>
      <c r="DS9" s="268">
        <f t="shared" ref="DS9:DS11" si="7">IF(DQ9=0,0,DO9-DQ9)</f>
        <v>0</v>
      </c>
      <c r="DT9" s="73">
        <f t="shared" ref="DT9:DT11" si="8">IF(DO9&gt;333333,0.35,IF(DO9&gt;83333,0.3,IF(DO9&gt;33333,0.25,IF(DO9&gt;16667,0.2,IF(DO9&gt;10417,0.15,0)))))</f>
        <v>0</v>
      </c>
      <c r="DU9" s="73">
        <f t="shared" ref="DU9:DU11" si="9">DT9*DS9</f>
        <v>0</v>
      </c>
      <c r="DV9" s="73">
        <f t="shared" ref="DV9:DV11" si="10">ROUND(DR9+DU9,2)</f>
        <v>0</v>
      </c>
      <c r="DW9" s="263"/>
      <c r="DX9" s="269"/>
      <c r="DY9" s="269"/>
      <c r="DZ9" s="263"/>
      <c r="EA9" s="133">
        <f>IF(BT9&gt;0,IF(ISERROR(VLOOKUP(CY9,'[1]SSS table 2021'!N:Q,4,FALSE)),0,(VLOOKUP(CY9,'[1]SSS table 2021'!N:Q,4,FALSE))),0)</f>
        <v>0</v>
      </c>
      <c r="EB9" s="263">
        <f t="shared" ref="EB9:EB11" si="11">IF(BT9&gt;0,BT9,0)</f>
        <v>0</v>
      </c>
      <c r="EC9" s="133">
        <f t="shared" ref="EC9:EC11" si="12">IF(BU9&gt;0,100,0)</f>
        <v>0</v>
      </c>
      <c r="ED9" s="133">
        <f t="shared" ref="ED9:ED11" si="13">SUM(EA9:EC9)</f>
        <v>0</v>
      </c>
      <c r="EJ9" s="134"/>
      <c r="EK9" s="134"/>
    </row>
    <row r="10" spans="1:141" ht="15" customHeight="1">
      <c r="A10" s="240">
        <v>2</v>
      </c>
      <c r="B10" s="241">
        <f>+B9+1</f>
        <v>2</v>
      </c>
      <c r="C10" s="242">
        <v>20</v>
      </c>
      <c r="D10" s="243">
        <v>758</v>
      </c>
      <c r="E10" s="244" t="s">
        <v>169</v>
      </c>
      <c r="F10" s="244" t="s">
        <v>170</v>
      </c>
      <c r="G10" s="244"/>
      <c r="H10" s="245">
        <v>39374</v>
      </c>
      <c r="I10" s="246" t="s">
        <v>171</v>
      </c>
      <c r="J10" s="247" t="s">
        <v>165</v>
      </c>
      <c r="K10" s="248" t="s">
        <v>172</v>
      </c>
      <c r="L10" s="270">
        <f>N10*26.17</f>
        <v>20170.5275</v>
      </c>
      <c r="M10" s="244"/>
      <c r="N10" s="244">
        <v>770.75</v>
      </c>
      <c r="O10" s="244">
        <v>116</v>
      </c>
      <c r="P10" s="244">
        <v>116</v>
      </c>
      <c r="Q10" s="244">
        <v>0</v>
      </c>
      <c r="R10" s="244">
        <v>0</v>
      </c>
      <c r="S10" s="244">
        <v>0</v>
      </c>
      <c r="T10" s="244">
        <v>8</v>
      </c>
      <c r="U10" s="244">
        <v>0</v>
      </c>
      <c r="V10" s="244">
        <v>0</v>
      </c>
      <c r="W10" s="244">
        <v>10085.26375</v>
      </c>
      <c r="X10" s="244">
        <v>0</v>
      </c>
      <c r="Y10" s="244">
        <v>10085.26</v>
      </c>
      <c r="Z10" s="244">
        <v>0</v>
      </c>
      <c r="AA10" s="244">
        <v>0</v>
      </c>
      <c r="AB10" s="249">
        <v>1001.98</v>
      </c>
      <c r="AC10" s="249">
        <v>0</v>
      </c>
      <c r="AD10" s="249">
        <v>0</v>
      </c>
      <c r="AE10" s="244">
        <v>437</v>
      </c>
      <c r="AF10" s="252">
        <v>0</v>
      </c>
      <c r="AG10" s="244">
        <v>11524.24</v>
      </c>
      <c r="AH10" s="244">
        <v>36</v>
      </c>
      <c r="AI10" s="251">
        <v>144</v>
      </c>
      <c r="AJ10" s="251">
        <v>193.75</v>
      </c>
      <c r="AK10" s="244">
        <v>0</v>
      </c>
      <c r="AL10" s="244">
        <v>0</v>
      </c>
      <c r="AM10" s="252">
        <v>0</v>
      </c>
      <c r="AN10" s="250">
        <v>0</v>
      </c>
      <c r="AO10" s="244">
        <v>0</v>
      </c>
      <c r="AP10" s="251">
        <v>805.5</v>
      </c>
      <c r="AQ10" s="251">
        <v>0</v>
      </c>
      <c r="AR10" s="251">
        <v>1179.25</v>
      </c>
      <c r="AS10" s="251">
        <v>12703.49</v>
      </c>
      <c r="AT10" s="244">
        <v>166.09</v>
      </c>
      <c r="AU10" s="253">
        <v>0</v>
      </c>
      <c r="AV10" s="253">
        <v>0</v>
      </c>
      <c r="AW10" s="244">
        <v>0</v>
      </c>
      <c r="AX10" s="244">
        <v>0</v>
      </c>
      <c r="AY10" s="244">
        <v>0</v>
      </c>
      <c r="AZ10" s="244">
        <v>749.01</v>
      </c>
      <c r="BA10" s="244">
        <v>1363.54</v>
      </c>
      <c r="BB10" s="244">
        <v>0</v>
      </c>
      <c r="BC10" s="244">
        <v>852.5</v>
      </c>
      <c r="BD10" s="244">
        <v>584</v>
      </c>
      <c r="BE10" s="244">
        <v>400</v>
      </c>
      <c r="BF10" s="254">
        <v>0</v>
      </c>
      <c r="BG10" s="244">
        <v>4115.1400000000003</v>
      </c>
      <c r="BH10" s="252">
        <v>8588.35</v>
      </c>
      <c r="BI10" s="243">
        <v>1358695457</v>
      </c>
      <c r="BJ10" s="255" t="s">
        <v>167</v>
      </c>
      <c r="BK10" s="304" t="s">
        <v>2</v>
      </c>
      <c r="BL10" s="256">
        <v>11087.24</v>
      </c>
      <c r="BM10" s="257">
        <v>758</v>
      </c>
      <c r="BN10" s="258" t="s">
        <v>169</v>
      </c>
      <c r="BO10" s="259">
        <v>20170.5275</v>
      </c>
      <c r="BP10" s="258">
        <v>12703.49</v>
      </c>
      <c r="BQ10" s="303"/>
      <c r="BR10" s="260">
        <v>12703.49</v>
      </c>
      <c r="BS10" s="258">
        <v>0</v>
      </c>
      <c r="BT10" s="258">
        <v>0</v>
      </c>
      <c r="BU10" s="258">
        <v>0</v>
      </c>
      <c r="BV10" s="258">
        <v>562.5</v>
      </c>
      <c r="BW10" s="258">
        <v>0</v>
      </c>
      <c r="BX10" s="303">
        <v>562.5</v>
      </c>
      <c r="BY10" s="261"/>
      <c r="BZ10" s="133"/>
      <c r="CA10" s="262"/>
      <c r="CB10" s="263"/>
      <c r="CC10" s="263">
        <v>403.41</v>
      </c>
      <c r="CD10" s="264">
        <v>100</v>
      </c>
      <c r="CE10" s="263"/>
      <c r="CF10" s="263">
        <v>100</v>
      </c>
      <c r="CG10" s="252"/>
      <c r="CH10" s="262">
        <v>0</v>
      </c>
      <c r="CI10" s="263">
        <v>0</v>
      </c>
      <c r="CJ10" s="263">
        <v>0</v>
      </c>
      <c r="CK10" s="264">
        <v>749.01</v>
      </c>
      <c r="CL10" s="265">
        <v>11524.24</v>
      </c>
      <c r="CM10" s="265">
        <v>0</v>
      </c>
      <c r="CN10" s="266">
        <v>11524.24</v>
      </c>
      <c r="CO10" s="267" t="s">
        <v>168</v>
      </c>
      <c r="CP10" s="268">
        <v>10417</v>
      </c>
      <c r="CQ10" s="268">
        <v>0</v>
      </c>
      <c r="CR10" s="268">
        <v>1107.2399999999998</v>
      </c>
      <c r="CS10" s="73">
        <v>0.15</v>
      </c>
      <c r="CT10" s="73">
        <v>166.08599999999996</v>
      </c>
      <c r="CU10" s="73">
        <v>166.09</v>
      </c>
      <c r="CV10" s="263"/>
      <c r="CW10" s="269"/>
      <c r="CX10" s="269"/>
      <c r="CY10" s="263"/>
      <c r="CZ10" s="133">
        <v>0</v>
      </c>
      <c r="DA10" s="263">
        <v>0</v>
      </c>
      <c r="DB10" s="133">
        <v>0</v>
      </c>
      <c r="DC10" s="133">
        <v>0</v>
      </c>
      <c r="DD10" s="133">
        <v>0</v>
      </c>
      <c r="DE10" s="133">
        <v>0</v>
      </c>
      <c r="DF10" s="133"/>
      <c r="DG10" s="255"/>
      <c r="DH10" s="252"/>
      <c r="DI10" s="262">
        <f>IF(DI$3="15",SUMIF([1]Deductions!C:C,PAYROLL!D10,[1]Deductions!Q:Q),0)</f>
        <v>0</v>
      </c>
      <c r="DJ10" s="263" t="e">
        <f>IF(DJ$3="30",SUMIF([1]Deductions!C:C,PAYROLL!D10,[1]Deductions!R:R),0)</f>
        <v>#VALUE!</v>
      </c>
      <c r="DK10" s="263">
        <f>IF(DK$3="15",SUMIF([1]Deductions!C:C,PAYROLL!D10,[1]Deductions!S:S),0)</f>
        <v>0</v>
      </c>
      <c r="DL10" s="264">
        <f>IF(DL$3="15",SUMIF([1]Deductions!C:C,PAYROLL!D10,[1]Deductions!T:T),0)</f>
        <v>0</v>
      </c>
      <c r="DM10" s="265">
        <f t="shared" si="2"/>
        <v>0</v>
      </c>
      <c r="DN10" s="265">
        <f t="shared" si="3"/>
        <v>0</v>
      </c>
      <c r="DO10" s="266">
        <f t="shared" si="4"/>
        <v>0</v>
      </c>
      <c r="DP10" s="267" t="s">
        <v>168</v>
      </c>
      <c r="DQ10" s="268">
        <f t="shared" si="5"/>
        <v>0</v>
      </c>
      <c r="DR10" s="268">
        <f t="shared" si="6"/>
        <v>0</v>
      </c>
      <c r="DS10" s="268">
        <f t="shared" si="7"/>
        <v>0</v>
      </c>
      <c r="DT10" s="73">
        <f t="shared" si="8"/>
        <v>0</v>
      </c>
      <c r="DU10" s="73">
        <f t="shared" si="9"/>
        <v>0</v>
      </c>
      <c r="DV10" s="73">
        <f t="shared" si="10"/>
        <v>0</v>
      </c>
      <c r="DW10" s="263"/>
      <c r="DX10" s="269"/>
      <c r="DY10" s="269"/>
      <c r="DZ10" s="263"/>
      <c r="EA10" s="133">
        <f>IF(BT10&gt;0,IF(ISERROR(VLOOKUP(CY10,'[1]SSS table 2021'!N:Q,4,FALSE)),0,(VLOOKUP(CY10,'[1]SSS table 2021'!N:Q,4,FALSE))),0)</f>
        <v>0</v>
      </c>
      <c r="EB10" s="263">
        <f t="shared" si="11"/>
        <v>0</v>
      </c>
      <c r="EC10" s="133">
        <f t="shared" si="12"/>
        <v>0</v>
      </c>
      <c r="ED10" s="133">
        <f t="shared" si="13"/>
        <v>0</v>
      </c>
      <c r="EJ10" s="134"/>
      <c r="EK10" s="134"/>
    </row>
    <row r="11" spans="1:141" s="134" customFormat="1" ht="15" customHeight="1">
      <c r="A11" s="240">
        <v>3</v>
      </c>
      <c r="B11" s="241">
        <f>+B10+1</f>
        <v>3</v>
      </c>
      <c r="C11" s="242">
        <v>30</v>
      </c>
      <c r="D11" s="243">
        <v>588</v>
      </c>
      <c r="E11" s="244" t="s">
        <v>173</v>
      </c>
      <c r="F11" s="244" t="s">
        <v>174</v>
      </c>
      <c r="G11" s="244"/>
      <c r="H11" s="245">
        <v>38476</v>
      </c>
      <c r="I11" s="246"/>
      <c r="J11" s="247" t="s">
        <v>175</v>
      </c>
      <c r="K11" s="248" t="s">
        <v>176</v>
      </c>
      <c r="L11" s="270"/>
      <c r="M11" s="244"/>
      <c r="N11" s="244">
        <v>569.75</v>
      </c>
      <c r="O11" s="244">
        <v>116</v>
      </c>
      <c r="P11" s="244">
        <v>116</v>
      </c>
      <c r="Q11" s="244">
        <v>0</v>
      </c>
      <c r="R11" s="244">
        <v>0</v>
      </c>
      <c r="S11" s="244">
        <v>20</v>
      </c>
      <c r="T11" s="244">
        <v>24</v>
      </c>
      <c r="U11" s="244">
        <v>0</v>
      </c>
      <c r="V11" s="244">
        <v>0</v>
      </c>
      <c r="W11" s="244">
        <v>0</v>
      </c>
      <c r="X11" s="244">
        <v>0</v>
      </c>
      <c r="Y11" s="244">
        <v>8261.3799999999992</v>
      </c>
      <c r="Z11" s="244">
        <v>0</v>
      </c>
      <c r="AA11" s="244">
        <v>1780.47</v>
      </c>
      <c r="AB11" s="249">
        <v>2222.0300000000002</v>
      </c>
      <c r="AC11" s="249">
        <v>0</v>
      </c>
      <c r="AD11" s="249">
        <v>0</v>
      </c>
      <c r="AE11" s="244">
        <v>0</v>
      </c>
      <c r="AF11" s="252">
        <v>0</v>
      </c>
      <c r="AG11" s="244">
        <v>12263.88</v>
      </c>
      <c r="AH11" s="244">
        <v>324</v>
      </c>
      <c r="AI11" s="251">
        <v>180</v>
      </c>
      <c r="AJ11" s="251">
        <v>218.75</v>
      </c>
      <c r="AK11" s="244">
        <v>0</v>
      </c>
      <c r="AL11" s="244">
        <v>0</v>
      </c>
      <c r="AM11" s="252">
        <v>0</v>
      </c>
      <c r="AN11" s="250">
        <v>0</v>
      </c>
      <c r="AO11" s="244">
        <v>0</v>
      </c>
      <c r="AP11" s="251">
        <v>0</v>
      </c>
      <c r="AQ11" s="251">
        <v>0</v>
      </c>
      <c r="AR11" s="251">
        <v>722.75</v>
      </c>
      <c r="AS11" s="251">
        <v>12986.63</v>
      </c>
      <c r="AT11" s="244">
        <v>277.02999999999997</v>
      </c>
      <c r="AU11" s="253">
        <v>0</v>
      </c>
      <c r="AV11" s="253">
        <v>0</v>
      </c>
      <c r="AW11" s="244">
        <v>1199.77</v>
      </c>
      <c r="AX11" s="244">
        <v>0</v>
      </c>
      <c r="AY11" s="244">
        <v>1119.18</v>
      </c>
      <c r="AZ11" s="244">
        <v>0</v>
      </c>
      <c r="BA11" s="244">
        <v>272.70999999999998</v>
      </c>
      <c r="BB11" s="244">
        <v>0</v>
      </c>
      <c r="BC11" s="244">
        <v>690</v>
      </c>
      <c r="BD11" s="244">
        <v>1500</v>
      </c>
      <c r="BE11" s="244">
        <v>2883.33</v>
      </c>
      <c r="BF11" s="254">
        <v>0</v>
      </c>
      <c r="BG11" s="244">
        <v>7942.02</v>
      </c>
      <c r="BH11" s="252">
        <v>5044.6099999999997</v>
      </c>
      <c r="BI11" s="243">
        <v>9021896816</v>
      </c>
      <c r="BJ11" s="255" t="s">
        <v>167</v>
      </c>
      <c r="BK11" s="304" t="s">
        <v>2</v>
      </c>
      <c r="BL11" s="256">
        <v>10483.41</v>
      </c>
      <c r="BM11" s="257">
        <v>588</v>
      </c>
      <c r="BN11" s="258" t="s">
        <v>173</v>
      </c>
      <c r="BO11" s="259">
        <v>14910.3575</v>
      </c>
      <c r="BP11" s="258">
        <v>12986.63</v>
      </c>
      <c r="BQ11" s="303"/>
      <c r="BR11" s="260">
        <v>12986.63</v>
      </c>
      <c r="BS11" s="258">
        <v>0</v>
      </c>
      <c r="BT11" s="258">
        <v>0</v>
      </c>
      <c r="BU11" s="258">
        <v>0</v>
      </c>
      <c r="BV11" s="258">
        <v>585</v>
      </c>
      <c r="BW11" s="258">
        <v>0</v>
      </c>
      <c r="BX11" s="303">
        <v>585</v>
      </c>
      <c r="BY11" s="261"/>
      <c r="BZ11" s="133"/>
      <c r="CA11" s="262"/>
      <c r="CB11" s="263"/>
      <c r="CC11" s="263">
        <v>298.20999999999998</v>
      </c>
      <c r="CD11" s="264">
        <v>100</v>
      </c>
      <c r="CE11" s="263"/>
      <c r="CF11" s="263">
        <v>100</v>
      </c>
      <c r="CG11" s="252"/>
      <c r="CH11" s="262">
        <v>1199.77</v>
      </c>
      <c r="CI11" s="263">
        <v>0</v>
      </c>
      <c r="CJ11" s="263">
        <v>1119.18</v>
      </c>
      <c r="CK11" s="264">
        <v>0</v>
      </c>
      <c r="CL11" s="265">
        <v>12263.88</v>
      </c>
      <c r="CM11" s="265">
        <v>0</v>
      </c>
      <c r="CN11" s="266">
        <v>12263.88</v>
      </c>
      <c r="CO11" s="267" t="s">
        <v>168</v>
      </c>
      <c r="CP11" s="268">
        <v>10417</v>
      </c>
      <c r="CQ11" s="268">
        <v>0</v>
      </c>
      <c r="CR11" s="268">
        <v>1846.8799999999992</v>
      </c>
      <c r="CS11" s="73">
        <v>0.15</v>
      </c>
      <c r="CT11" s="73">
        <v>277.03199999999987</v>
      </c>
      <c r="CU11" s="73">
        <v>277.02999999999997</v>
      </c>
      <c r="CV11" s="263"/>
      <c r="CW11" s="269"/>
      <c r="CX11" s="269"/>
      <c r="CY11" s="263"/>
      <c r="CZ11" s="133">
        <v>0</v>
      </c>
      <c r="DA11" s="263">
        <v>0</v>
      </c>
      <c r="DB11" s="133">
        <v>0</v>
      </c>
      <c r="DC11" s="133">
        <v>0</v>
      </c>
      <c r="DD11" s="133">
        <v>20</v>
      </c>
      <c r="DE11" s="133">
        <v>1780.47</v>
      </c>
      <c r="DF11" s="133"/>
      <c r="DG11" s="255"/>
      <c r="DH11" s="252"/>
      <c r="DI11" s="262">
        <f>IF(DI$3="15",SUMIF([1]Deductions!C:C,PAYROLL!D11,[1]Deductions!Q:Q),0)</f>
        <v>0</v>
      </c>
      <c r="DJ11" s="263" t="e">
        <f>IF(DJ$3="30",SUMIF([1]Deductions!C:C,PAYROLL!D11,[1]Deductions!R:R),0)</f>
        <v>#VALUE!</v>
      </c>
      <c r="DK11" s="263">
        <f>IF(DK$3="15",SUMIF([1]Deductions!C:C,PAYROLL!D11,[1]Deductions!S:S),0)</f>
        <v>0</v>
      </c>
      <c r="DL11" s="264">
        <f>IF(DL$3="15",SUMIF([1]Deductions!C:C,PAYROLL!D11,[1]Deductions!T:T),0)</f>
        <v>0</v>
      </c>
      <c r="DM11" s="265">
        <f t="shared" si="2"/>
        <v>0</v>
      </c>
      <c r="DN11" s="265">
        <f t="shared" si="3"/>
        <v>0</v>
      </c>
      <c r="DO11" s="266">
        <f t="shared" si="4"/>
        <v>0</v>
      </c>
      <c r="DP11" s="267" t="s">
        <v>168</v>
      </c>
      <c r="DQ11" s="268">
        <f t="shared" si="5"/>
        <v>0</v>
      </c>
      <c r="DR11" s="268">
        <f t="shared" si="6"/>
        <v>0</v>
      </c>
      <c r="DS11" s="268">
        <f t="shared" si="7"/>
        <v>0</v>
      </c>
      <c r="DT11" s="73">
        <f t="shared" si="8"/>
        <v>0</v>
      </c>
      <c r="DU11" s="73">
        <f t="shared" si="9"/>
        <v>0</v>
      </c>
      <c r="DV11" s="73">
        <f t="shared" si="10"/>
        <v>0</v>
      </c>
      <c r="DW11" s="263"/>
      <c r="DX11" s="269"/>
      <c r="DY11" s="269"/>
      <c r="DZ11" s="263"/>
      <c r="EA11" s="133">
        <f>IF(BT11&gt;0,IF(ISERROR(VLOOKUP(CY11,'[1]SSS table 2021'!N:Q,4,FALSE)),0,(VLOOKUP(CY11,'[1]SSS table 2021'!N:Q,4,FALSE))),0)</f>
        <v>0</v>
      </c>
      <c r="EB11" s="263">
        <f t="shared" si="11"/>
        <v>0</v>
      </c>
      <c r="EC11" s="133">
        <f t="shared" si="12"/>
        <v>0</v>
      </c>
      <c r="ED11" s="133">
        <f t="shared" si="13"/>
        <v>0</v>
      </c>
    </row>
    <row r="12" spans="1:141" s="288" customFormat="1" ht="15" customHeight="1">
      <c r="A12" s="271"/>
      <c r="B12" s="272"/>
      <c r="C12" s="273"/>
      <c r="D12" s="273"/>
      <c r="E12" s="274"/>
      <c r="F12" s="275"/>
      <c r="G12" s="275"/>
      <c r="H12" s="276"/>
      <c r="I12" s="276"/>
      <c r="J12" s="276"/>
      <c r="K12" s="277"/>
      <c r="L12" s="278"/>
      <c r="M12" s="278"/>
      <c r="N12" s="278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  <c r="AA12" s="279"/>
      <c r="AB12" s="279"/>
      <c r="AC12" s="279"/>
      <c r="AD12" s="279"/>
      <c r="AE12" s="279"/>
      <c r="AF12" s="279"/>
      <c r="AG12" s="280"/>
      <c r="AH12" s="280"/>
      <c r="AI12" s="280"/>
      <c r="AJ12" s="280"/>
      <c r="AK12" s="281"/>
      <c r="AL12" s="279"/>
      <c r="AM12" s="279"/>
      <c r="AN12" s="279"/>
      <c r="AO12" s="279"/>
      <c r="AP12" s="279"/>
      <c r="AQ12" s="280"/>
      <c r="AR12" s="280"/>
      <c r="AS12" s="280"/>
      <c r="AT12" s="280"/>
      <c r="AU12" s="280"/>
      <c r="AV12" s="280"/>
      <c r="AW12" s="280"/>
      <c r="AX12" s="279"/>
      <c r="AY12" s="279"/>
      <c r="AZ12" s="279"/>
      <c r="BA12" s="279"/>
      <c r="BB12" s="279"/>
      <c r="BC12" s="279"/>
      <c r="BD12" s="279"/>
      <c r="BE12" s="279"/>
      <c r="BF12" s="279"/>
      <c r="BG12" s="279"/>
      <c r="BH12" s="279"/>
      <c r="BI12" s="279"/>
      <c r="BJ12" s="279"/>
      <c r="BK12" s="279"/>
      <c r="BL12" s="279"/>
      <c r="BM12" s="279"/>
      <c r="BN12" s="279"/>
      <c r="BO12" s="279"/>
      <c r="BP12" s="279"/>
      <c r="BQ12" s="279"/>
      <c r="BR12" s="279"/>
      <c r="BS12" s="279"/>
      <c r="BT12" s="279"/>
      <c r="BU12" s="279"/>
      <c r="BV12" s="279"/>
      <c r="BW12" s="279"/>
      <c r="BX12" s="279"/>
      <c r="BY12" s="279"/>
      <c r="BZ12" s="279"/>
      <c r="CA12" s="279"/>
      <c r="CB12" s="279"/>
      <c r="CC12" s="279"/>
      <c r="CD12" s="279"/>
      <c r="CE12" s="279"/>
      <c r="CF12" s="279"/>
      <c r="CG12" s="282"/>
      <c r="CH12" s="283"/>
      <c r="CI12" s="284"/>
      <c r="CJ12" s="276"/>
      <c r="CK12" s="285"/>
      <c r="CL12" s="286"/>
      <c r="CM12" s="286"/>
      <c r="CN12" s="287"/>
      <c r="CO12" s="273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  <c r="DA12" s="280"/>
      <c r="DB12" s="280"/>
      <c r="DC12" s="280"/>
      <c r="DD12" s="280"/>
      <c r="DE12" s="275"/>
      <c r="DF12" s="280"/>
      <c r="DG12" s="280"/>
      <c r="DH12" s="280"/>
      <c r="DI12" s="280"/>
      <c r="DJ12" s="280"/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/>
      <c r="DX12" s="280"/>
      <c r="DY12" s="280"/>
      <c r="DZ12" s="280"/>
      <c r="EA12" s="280"/>
      <c r="EB12" s="280"/>
      <c r="EC12" s="280"/>
      <c r="ED12" s="280"/>
    </row>
    <row r="13" spans="1:141" s="288" customFormat="1" ht="15" customHeight="1">
      <c r="A13" s="271"/>
      <c r="B13" s="272"/>
      <c r="C13" s="273"/>
      <c r="D13" s="273"/>
      <c r="E13" s="274"/>
      <c r="F13" s="275"/>
      <c r="G13" s="275"/>
      <c r="H13" s="276"/>
      <c r="I13" s="276"/>
      <c r="J13" s="276"/>
      <c r="K13" s="277"/>
      <c r="L13" s="278"/>
      <c r="M13" s="278"/>
      <c r="N13" s="278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  <c r="AA13" s="279"/>
      <c r="AB13" s="279"/>
      <c r="AC13" s="279"/>
      <c r="AD13" s="279"/>
      <c r="AE13" s="279"/>
      <c r="AF13" s="279"/>
      <c r="AG13" s="280"/>
      <c r="AH13" s="280"/>
      <c r="AI13" s="280"/>
      <c r="AJ13" s="280"/>
      <c r="AK13" s="281"/>
      <c r="AL13" s="279"/>
      <c r="AM13" s="279"/>
      <c r="AN13" s="279"/>
      <c r="AO13" s="279"/>
      <c r="AP13" s="279"/>
      <c r="AQ13" s="280"/>
      <c r="AR13" s="280"/>
      <c r="AS13" s="280"/>
      <c r="AT13" s="280"/>
      <c r="AU13" s="280"/>
      <c r="AV13" s="280"/>
      <c r="AW13" s="280"/>
      <c r="AX13" s="279"/>
      <c r="AY13" s="279"/>
      <c r="AZ13" s="279"/>
      <c r="BA13" s="279"/>
      <c r="BB13" s="279"/>
      <c r="BC13" s="279"/>
      <c r="BD13" s="279"/>
      <c r="BE13" s="279"/>
      <c r="BF13" s="279"/>
      <c r="BG13" s="279"/>
      <c r="BH13" s="279"/>
      <c r="BI13" s="279"/>
      <c r="BJ13" s="279"/>
      <c r="BK13" s="279"/>
      <c r="BL13" s="279"/>
      <c r="BM13" s="279"/>
      <c r="BN13" s="279"/>
      <c r="BO13" s="279"/>
      <c r="BP13" s="279"/>
      <c r="BQ13" s="279"/>
      <c r="BR13" s="279"/>
      <c r="BS13" s="279"/>
      <c r="BT13" s="279"/>
      <c r="BU13" s="279"/>
      <c r="BV13" s="279"/>
      <c r="BW13" s="279"/>
      <c r="BX13" s="279"/>
      <c r="BY13" s="279"/>
      <c r="BZ13" s="279"/>
      <c r="CA13" s="279"/>
      <c r="CB13" s="279"/>
      <c r="CC13" s="279"/>
      <c r="CD13" s="279"/>
      <c r="CE13" s="279"/>
      <c r="CF13" s="279"/>
      <c r="CG13" s="282"/>
      <c r="CH13" s="283"/>
      <c r="CI13" s="284"/>
      <c r="CJ13" s="276"/>
      <c r="CK13" s="285"/>
      <c r="CL13" s="286"/>
      <c r="CM13" s="286"/>
      <c r="CN13" s="287"/>
      <c r="CO13" s="273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75"/>
      <c r="DF13" s="280"/>
      <c r="DG13" s="280"/>
      <c r="DH13" s="280"/>
      <c r="DI13" s="280"/>
      <c r="DJ13" s="280"/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/>
      <c r="DX13" s="280"/>
      <c r="DY13" s="280"/>
      <c r="DZ13" s="280"/>
      <c r="EA13" s="280"/>
      <c r="EB13" s="280"/>
      <c r="EC13" s="280"/>
      <c r="ED13" s="280"/>
    </row>
    <row r="14" spans="1:141" s="288" customFormat="1" ht="15" customHeight="1">
      <c r="A14" s="271"/>
      <c r="B14" s="272"/>
      <c r="C14" s="273"/>
      <c r="D14" s="273"/>
      <c r="E14" s="274"/>
      <c r="F14" s="275"/>
      <c r="G14" s="275"/>
      <c r="H14" s="276"/>
      <c r="I14" s="276"/>
      <c r="J14" s="276"/>
      <c r="K14" s="277"/>
      <c r="L14" s="278"/>
      <c r="M14" s="278"/>
      <c r="N14" s="278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  <c r="AA14" s="279"/>
      <c r="AB14" s="279"/>
      <c r="AC14" s="279"/>
      <c r="AD14" s="279"/>
      <c r="AE14" s="279"/>
      <c r="AF14" s="279"/>
      <c r="AG14" s="280"/>
      <c r="AH14" s="280"/>
      <c r="AI14" s="280"/>
      <c r="AJ14" s="280"/>
      <c r="AK14" s="281"/>
      <c r="AL14" s="279"/>
      <c r="AM14" s="279"/>
      <c r="AN14" s="279"/>
      <c r="AO14" s="279"/>
      <c r="AP14" s="279"/>
      <c r="AQ14" s="280"/>
      <c r="AR14" s="280"/>
      <c r="AS14" s="280"/>
      <c r="AT14" s="280"/>
      <c r="AU14" s="280"/>
      <c r="AV14" s="280"/>
      <c r="AW14" s="280"/>
      <c r="AX14" s="279"/>
      <c r="AY14" s="279"/>
      <c r="AZ14" s="279"/>
      <c r="BA14" s="279"/>
      <c r="BB14" s="279"/>
      <c r="BC14" s="279"/>
      <c r="BD14" s="279"/>
      <c r="BE14" s="279"/>
      <c r="BF14" s="279"/>
      <c r="BG14" s="279"/>
      <c r="BH14" s="279"/>
      <c r="BI14" s="279"/>
      <c r="BJ14" s="279"/>
      <c r="BK14" s="279"/>
      <c r="BL14" s="279"/>
      <c r="BM14" s="279"/>
      <c r="BN14" s="279"/>
      <c r="BO14" s="279"/>
      <c r="BP14" s="279"/>
      <c r="BQ14" s="279"/>
      <c r="BR14" s="279"/>
      <c r="BS14" s="279"/>
      <c r="BT14" s="279"/>
      <c r="BU14" s="279"/>
      <c r="BV14" s="279"/>
      <c r="BW14" s="279"/>
      <c r="BX14" s="279"/>
      <c r="BY14" s="279"/>
      <c r="BZ14" s="279"/>
      <c r="CA14" s="279"/>
      <c r="CB14" s="279"/>
      <c r="CC14" s="279"/>
      <c r="CD14" s="279"/>
      <c r="CE14" s="279"/>
      <c r="CF14" s="279"/>
      <c r="CG14" s="282"/>
      <c r="CH14" s="283"/>
      <c r="CI14" s="284"/>
      <c r="CJ14" s="276"/>
      <c r="CK14" s="285"/>
      <c r="CL14" s="286"/>
      <c r="CM14" s="286"/>
      <c r="CN14" s="287"/>
      <c r="CO14" s="273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75"/>
      <c r="DF14" s="280"/>
      <c r="DG14" s="280"/>
      <c r="DH14" s="280"/>
      <c r="DI14" s="280"/>
      <c r="DJ14" s="280"/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/>
      <c r="DX14" s="280"/>
      <c r="DY14" s="280"/>
      <c r="DZ14" s="280"/>
      <c r="EA14" s="280"/>
      <c r="EB14" s="280"/>
      <c r="EC14" s="280"/>
      <c r="ED14" s="280"/>
    </row>
    <row r="15" spans="1:141" s="289" customFormat="1" ht="15" customHeight="1">
      <c r="A15" s="271"/>
      <c r="B15" s="272"/>
      <c r="C15" s="276"/>
      <c r="E15" s="274"/>
      <c r="F15" s="275"/>
      <c r="G15" s="275"/>
      <c r="H15" s="276"/>
      <c r="I15" s="276"/>
      <c r="J15" s="276"/>
      <c r="K15" s="276"/>
      <c r="L15" s="290"/>
      <c r="M15" s="290"/>
      <c r="N15" s="290"/>
      <c r="O15" s="291"/>
      <c r="P15" s="291"/>
      <c r="Q15" s="291"/>
      <c r="R15" s="291"/>
      <c r="S15" s="291"/>
      <c r="T15" s="291"/>
      <c r="U15" s="291"/>
      <c r="V15" s="291"/>
      <c r="W15" s="291"/>
      <c r="X15" s="291"/>
      <c r="Y15" s="291"/>
      <c r="Z15" s="291"/>
      <c r="AA15" s="291"/>
      <c r="AB15" s="291"/>
      <c r="AC15" s="291"/>
      <c r="AD15" s="291"/>
      <c r="AE15" s="291"/>
      <c r="AF15" s="291"/>
      <c r="AG15" s="275"/>
      <c r="AH15" s="275"/>
      <c r="AI15" s="275"/>
      <c r="AJ15" s="275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/>
      <c r="BF15" s="275"/>
      <c r="BG15" s="275"/>
      <c r="BH15" s="275"/>
      <c r="BI15" s="275"/>
      <c r="BJ15" s="275"/>
      <c r="BK15" s="275"/>
      <c r="BL15" s="275"/>
      <c r="BM15" s="275"/>
      <c r="BN15" s="275"/>
      <c r="BO15" s="275"/>
      <c r="BP15" s="275"/>
      <c r="BQ15" s="275"/>
      <c r="BR15" s="275"/>
      <c r="BS15" s="291"/>
      <c r="BT15" s="291"/>
      <c r="BU15" s="291"/>
      <c r="BV15" s="291"/>
      <c r="BW15" s="275"/>
      <c r="BX15" s="275"/>
      <c r="BY15" s="275"/>
      <c r="BZ15" s="275"/>
      <c r="CA15" s="275"/>
      <c r="CB15" s="275"/>
      <c r="CC15" s="275"/>
      <c r="CD15" s="275"/>
      <c r="CE15" s="275"/>
      <c r="CF15" s="275"/>
      <c r="CG15" s="275"/>
      <c r="CH15" s="275"/>
      <c r="CJ15" s="273"/>
      <c r="CK15" s="284"/>
      <c r="CL15" s="273"/>
      <c r="CM15" s="273"/>
      <c r="CN15" s="272"/>
      <c r="CO15" s="273"/>
      <c r="CP15" s="280"/>
      <c r="CQ15" s="275"/>
      <c r="CR15" s="275"/>
      <c r="CS15" s="280"/>
      <c r="CT15" s="275"/>
      <c r="CU15" s="275"/>
      <c r="CV15" s="275"/>
      <c r="CW15" s="275"/>
      <c r="CX15" s="275"/>
      <c r="CY15" s="275"/>
      <c r="CZ15" s="275"/>
      <c r="DA15" s="275"/>
      <c r="DB15" s="275"/>
      <c r="DC15" s="275"/>
      <c r="DD15" s="275"/>
      <c r="DE15" s="275"/>
      <c r="DF15" s="275"/>
      <c r="DG15" s="280"/>
      <c r="DH15" s="280"/>
      <c r="DI15" s="275"/>
      <c r="DJ15" s="275"/>
      <c r="DK15" s="275"/>
      <c r="DL15" s="275"/>
      <c r="DM15" s="275"/>
      <c r="DN15" s="275"/>
      <c r="DO15" s="275"/>
      <c r="DP15" s="275"/>
      <c r="DQ15" s="275"/>
      <c r="DR15" s="275"/>
      <c r="DS15" s="275"/>
      <c r="DT15" s="275"/>
      <c r="DU15" s="275"/>
      <c r="DV15" s="275"/>
      <c r="DW15" s="275"/>
      <c r="DX15" s="275"/>
      <c r="DY15" s="275"/>
      <c r="DZ15" s="275"/>
      <c r="EA15" s="275"/>
      <c r="EB15" s="275"/>
      <c r="EC15" s="275"/>
      <c r="ED15" s="275"/>
    </row>
    <row r="16" spans="1:141" ht="15" customHeight="1">
      <c r="B16" s="105"/>
      <c r="C16" s="106"/>
      <c r="E16" s="108"/>
      <c r="F16" s="113"/>
      <c r="G16" s="103"/>
      <c r="J16" s="105"/>
      <c r="L16" s="105"/>
      <c r="M16" s="105"/>
      <c r="O16" s="292"/>
      <c r="P16" s="113"/>
      <c r="Q16" s="292"/>
      <c r="R16" s="293"/>
      <c r="V16" s="292"/>
      <c r="W16" s="292"/>
      <c r="X16" s="110"/>
      <c r="Y16" s="105"/>
      <c r="Z16" s="113"/>
      <c r="AG16" s="113"/>
      <c r="AH16" s="110"/>
      <c r="AI16" s="110"/>
      <c r="AJ16" s="110"/>
      <c r="AK16" s="113"/>
      <c r="AR16" s="110"/>
      <c r="AS16" s="110"/>
      <c r="AT16" s="110"/>
      <c r="AU16" s="110"/>
      <c r="AV16" s="110"/>
      <c r="BA16" s="110"/>
      <c r="BB16" s="110"/>
      <c r="BN16" s="110"/>
      <c r="BR16" s="113" t="s">
        <v>177</v>
      </c>
      <c r="BU16" s="113"/>
      <c r="BX16" s="110" t="s">
        <v>178</v>
      </c>
      <c r="BY16" s="113"/>
      <c r="BZ16" s="113"/>
      <c r="CA16" s="117"/>
      <c r="CC16" s="117"/>
      <c r="CD16" s="113" t="s">
        <v>179</v>
      </c>
      <c r="CF16" s="117"/>
      <c r="CI16" s="113" t="s">
        <v>180</v>
      </c>
      <c r="CK16" s="294"/>
      <c r="CL16" s="295"/>
      <c r="DP16" s="105"/>
    </row>
    <row r="17" spans="2:120" ht="15" customHeight="1">
      <c r="B17" s="105"/>
      <c r="C17" s="106"/>
      <c r="E17" s="105"/>
      <c r="F17" s="113"/>
      <c r="G17" s="103"/>
      <c r="J17" s="105"/>
      <c r="L17" s="105"/>
      <c r="M17" s="105"/>
      <c r="V17" s="109"/>
      <c r="W17" s="109"/>
      <c r="X17" s="110"/>
      <c r="Z17" s="113"/>
      <c r="AA17" s="110"/>
      <c r="AB17" s="110"/>
      <c r="AC17" s="110"/>
      <c r="AD17" s="110"/>
      <c r="AE17" s="110"/>
      <c r="AF17" s="110"/>
      <c r="AG17" s="113"/>
      <c r="AI17" s="110"/>
      <c r="AJ17" s="110"/>
      <c r="AK17" s="113"/>
      <c r="AL17" s="105"/>
      <c r="BA17" s="110"/>
      <c r="BB17" s="110"/>
      <c r="BN17" s="110"/>
      <c r="BR17" s="113"/>
      <c r="CA17" s="117"/>
      <c r="CC17" s="117"/>
      <c r="CF17" s="117"/>
      <c r="CI17" s="113"/>
      <c r="CK17" s="296"/>
      <c r="CL17" s="117"/>
      <c r="DP17" s="105"/>
    </row>
  </sheetData>
  <autoFilter ref="A8:ED17" xr:uid="{00000000-0001-0000-0E00-000000000000}"/>
  <mergeCells count="7">
    <mergeCell ref="CE7:CG7"/>
    <mergeCell ref="P7:AA7"/>
    <mergeCell ref="AG7:BB7"/>
    <mergeCell ref="BC7:BO7"/>
    <mergeCell ref="BS7:BU7"/>
    <mergeCell ref="BW7:BZ7"/>
    <mergeCell ref="CA7:CD7"/>
  </mergeCells>
  <conditionalFormatting sqref="D9:D11">
    <cfRule type="duplicateValues" dxfId="8" priority="11"/>
  </conditionalFormatting>
  <conditionalFormatting sqref="BI9:BI11">
    <cfRule type="duplicateValues" dxfId="7" priority="5"/>
  </conditionalFormatting>
  <conditionalFormatting sqref="CG9:CG11">
    <cfRule type="cellIs" dxfId="6" priority="1" stopIfTrue="1" operator="lessThan">
      <formula>0</formula>
    </cfRule>
    <cfRule type="cellIs" dxfId="5" priority="2" stopIfTrue="1" operator="equal">
      <formula>#N/A</formula>
    </cfRule>
  </conditionalFormatting>
  <conditionalFormatting sqref="DH9:DH11">
    <cfRule type="cellIs" dxfId="4" priority="6" stopIfTrue="1" operator="lessThan">
      <formula>0</formula>
    </cfRule>
    <cfRule type="cellIs" dxfId="3" priority="7" stopIfTrue="1" operator="equal">
      <formula>#N/A</formula>
    </cfRule>
  </conditionalFormatting>
  <pageMargins left="0.196850393700787" right="0.196850393700787" top="0.4" bottom="0.3" header="0" footer="0"/>
  <pageSetup paperSize="9" scale="53" fitToWidth="2" fitToHeight="0" orientation="landscape" r:id="rId1"/>
  <headerFooter scaleWithDoc="0" alignWithMargins="0">
    <oddHeader>&amp;R&amp;D   &amp;T</oddHeader>
    <oddFooter>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55F6-1E6E-4AA5-9F61-E933E6361B35}">
  <sheetPr filterMode="1"/>
  <dimension ref="A1:W421"/>
  <sheetViews>
    <sheetView tabSelected="1" view="pageBreakPreview" zoomScale="85" zoomScaleNormal="85" zoomScaleSheetLayoutView="85" workbookViewId="0">
      <selection activeCell="P7" sqref="P7:P25"/>
    </sheetView>
  </sheetViews>
  <sheetFormatPr defaultColWidth="9.140625" defaultRowHeight="11.25" customHeight="1"/>
  <cols>
    <col min="1" max="1" width="4" style="1" customWidth="1"/>
    <col min="2" max="2" width="1" style="2" customWidth="1"/>
    <col min="3" max="3" width="16.5703125" style="2" customWidth="1"/>
    <col min="4" max="4" width="12.5703125" style="3" customWidth="1"/>
    <col min="5" max="5" width="1.7109375" style="2" customWidth="1"/>
    <col min="6" max="6" width="9.7109375" style="2" customWidth="1"/>
    <col min="7" max="7" width="14.5703125" style="4" customWidth="1"/>
    <col min="8" max="8" width="1.7109375" style="4" customWidth="1"/>
    <col min="9" max="9" width="16.5703125" style="2" customWidth="1"/>
    <col min="10" max="10" width="9.7109375" style="2" customWidth="1"/>
    <col min="11" max="11" width="1.7109375" style="2" customWidth="1"/>
    <col min="12" max="12" width="14.7109375" style="2" customWidth="1"/>
    <col min="13" max="13" width="1.7109375" style="2" customWidth="1"/>
    <col min="14" max="14" width="20.42578125" style="98" customWidth="1"/>
    <col min="15" max="15" width="1.5703125" style="98" customWidth="1"/>
    <col min="16" max="16" width="16.7109375" style="99" customWidth="1"/>
    <col min="17" max="17" width="4.140625" style="2" customWidth="1"/>
    <col min="18" max="18" width="11.28515625" style="7" bestFit="1" customWidth="1"/>
    <col min="19" max="19" width="11" style="7" customWidth="1"/>
    <col min="20" max="21" width="9.140625" style="2"/>
    <col min="22" max="22" width="9.140625" style="3"/>
    <col min="23" max="16384" width="9.140625" style="2"/>
  </cols>
  <sheetData>
    <row r="1" spans="1:23" ht="10.5" customHeight="1">
      <c r="I1" s="5"/>
      <c r="N1" s="2"/>
      <c r="O1" s="2"/>
      <c r="P1" s="6"/>
      <c r="Q1" s="2">
        <v>1</v>
      </c>
      <c r="T1" s="2">
        <v>1</v>
      </c>
    </row>
    <row r="2" spans="1:23" ht="11.25" customHeight="1">
      <c r="A2" s="1">
        <v>1</v>
      </c>
      <c r="C2" s="8"/>
      <c r="D2" s="9" t="s">
        <v>0</v>
      </c>
      <c r="I2" s="10"/>
      <c r="J2" s="11"/>
      <c r="N2" s="2"/>
      <c r="O2" s="2"/>
      <c r="P2" s="6"/>
      <c r="T2" s="2">
        <v>2</v>
      </c>
    </row>
    <row r="3" spans="1:23" ht="22.5" customHeight="1">
      <c r="C3" s="12">
        <v>1668</v>
      </c>
      <c r="D3" s="13" t="s">
        <v>162</v>
      </c>
      <c r="E3" s="14"/>
      <c r="F3" s="15"/>
      <c r="G3" s="15"/>
      <c r="H3" s="15"/>
      <c r="I3" s="15"/>
      <c r="J3" s="16"/>
      <c r="K3" s="17"/>
      <c r="L3" s="18"/>
      <c r="M3" s="19" t="s">
        <v>181</v>
      </c>
      <c r="N3" s="18"/>
      <c r="O3" s="20"/>
      <c r="P3" s="21" t="s">
        <v>2</v>
      </c>
      <c r="R3" s="22" t="s">
        <v>182</v>
      </c>
      <c r="S3" s="22" t="s">
        <v>183</v>
      </c>
      <c r="T3" s="2">
        <v>3</v>
      </c>
      <c r="U3" s="23"/>
      <c r="V3" s="24"/>
      <c r="W3" s="23"/>
    </row>
    <row r="4" spans="1:23" ht="11.65" customHeight="1">
      <c r="C4" s="25" t="s">
        <v>184</v>
      </c>
      <c r="D4" s="26" t="s">
        <v>163</v>
      </c>
      <c r="E4" s="9"/>
      <c r="F4" s="27"/>
      <c r="G4" s="27"/>
      <c r="H4" s="27"/>
      <c r="I4" s="27"/>
      <c r="J4" s="9"/>
      <c r="K4" s="9"/>
      <c r="L4" s="8" t="s">
        <v>185</v>
      </c>
      <c r="M4" s="28"/>
      <c r="N4" s="9"/>
      <c r="O4" s="9"/>
      <c r="P4" s="29" t="s">
        <v>186</v>
      </c>
      <c r="R4" s="22"/>
      <c r="S4" s="22"/>
      <c r="T4" s="2">
        <v>4</v>
      </c>
      <c r="U4" s="23"/>
      <c r="V4" s="24"/>
      <c r="W4" s="23"/>
    </row>
    <row r="5" spans="1:23" ht="11.25" customHeight="1">
      <c r="C5" s="30"/>
      <c r="D5" s="26"/>
      <c r="F5" s="31"/>
      <c r="G5" s="31"/>
      <c r="H5" s="31"/>
      <c r="I5" s="31"/>
      <c r="M5" s="32"/>
      <c r="N5" s="2"/>
      <c r="O5" s="2"/>
      <c r="P5" s="32"/>
      <c r="R5" s="22"/>
      <c r="S5" s="22"/>
      <c r="T5" s="2">
        <v>5</v>
      </c>
      <c r="U5" s="23"/>
      <c r="V5" s="24"/>
      <c r="W5" s="23"/>
    </row>
    <row r="6" spans="1:23" ht="10.5" customHeight="1">
      <c r="C6" s="33"/>
      <c r="D6" s="34"/>
      <c r="E6" s="34"/>
      <c r="F6" s="35"/>
      <c r="G6" s="36"/>
      <c r="H6" s="35"/>
      <c r="I6" s="35"/>
      <c r="J6" s="37"/>
      <c r="K6" s="38"/>
      <c r="L6" s="39"/>
      <c r="M6" s="38"/>
      <c r="N6" s="40"/>
      <c r="O6" s="38"/>
      <c r="P6" s="39"/>
      <c r="R6" s="22"/>
      <c r="S6" s="22"/>
      <c r="T6" s="2">
        <v>6</v>
      </c>
      <c r="U6" s="23"/>
      <c r="V6" s="24"/>
      <c r="W6" s="23"/>
    </row>
    <row r="7" spans="1:23" ht="11.25" customHeight="1">
      <c r="C7" s="41" t="s">
        <v>187</v>
      </c>
      <c r="D7" s="42"/>
      <c r="E7" s="42"/>
      <c r="F7" s="43" t="s">
        <v>188</v>
      </c>
      <c r="G7" s="44" t="s">
        <v>189</v>
      </c>
      <c r="H7" s="43"/>
      <c r="I7" s="45" t="s">
        <v>190</v>
      </c>
      <c r="J7" s="45"/>
      <c r="K7" s="45"/>
      <c r="L7" s="46"/>
      <c r="M7" s="45"/>
      <c r="N7" s="45" t="s">
        <v>191</v>
      </c>
      <c r="O7" s="32"/>
      <c r="P7" s="47"/>
      <c r="R7" s="22"/>
      <c r="S7" s="48"/>
      <c r="T7" s="2">
        <v>7</v>
      </c>
      <c r="U7" s="23"/>
      <c r="V7" s="24"/>
      <c r="W7" s="23"/>
    </row>
    <row r="8" spans="1:23" ht="11.25" customHeight="1">
      <c r="C8" s="49" t="s">
        <v>192</v>
      </c>
      <c r="D8" s="23"/>
      <c r="E8" s="24" t="s">
        <v>193</v>
      </c>
      <c r="F8" s="50"/>
      <c r="G8" s="51"/>
      <c r="H8" s="52"/>
      <c r="I8" s="32" t="s">
        <v>194</v>
      </c>
      <c r="J8" s="32"/>
      <c r="K8" s="5" t="s">
        <v>193</v>
      </c>
      <c r="L8" s="51"/>
      <c r="M8" s="52"/>
      <c r="N8" s="2" t="s">
        <v>195</v>
      </c>
      <c r="O8" s="2" t="s">
        <v>193</v>
      </c>
      <c r="P8" s="51"/>
      <c r="R8" s="22"/>
      <c r="S8" s="22"/>
      <c r="T8" s="2">
        <v>8</v>
      </c>
      <c r="U8" s="23"/>
      <c r="V8" s="24"/>
      <c r="W8" s="23"/>
    </row>
    <row r="9" spans="1:23" ht="11.25" customHeight="1">
      <c r="C9" s="53" t="s">
        <v>196</v>
      </c>
      <c r="D9" s="2"/>
      <c r="E9" s="24" t="s">
        <v>193</v>
      </c>
      <c r="F9" s="50"/>
      <c r="G9" s="51"/>
      <c r="H9" s="50"/>
      <c r="I9" s="32" t="s">
        <v>197</v>
      </c>
      <c r="J9" s="32"/>
      <c r="K9" s="5" t="s">
        <v>193</v>
      </c>
      <c r="L9" s="51"/>
      <c r="M9" s="50"/>
      <c r="N9" s="32" t="s">
        <v>198</v>
      </c>
      <c r="O9" s="5" t="s">
        <v>193</v>
      </c>
      <c r="P9" s="51"/>
      <c r="R9" s="22"/>
      <c r="S9" s="22"/>
      <c r="T9" s="2">
        <v>9</v>
      </c>
      <c r="U9" s="23"/>
      <c r="V9" s="24"/>
      <c r="W9" s="23"/>
    </row>
    <row r="10" spans="1:23" ht="11.25" customHeight="1">
      <c r="C10" s="49" t="s">
        <v>199</v>
      </c>
      <c r="D10" s="23"/>
      <c r="E10" s="24" t="s">
        <v>193</v>
      </c>
      <c r="F10" s="50"/>
      <c r="G10" s="51"/>
      <c r="H10" s="50"/>
      <c r="I10" s="32" t="s">
        <v>99</v>
      </c>
      <c r="J10" s="32"/>
      <c r="K10" s="5" t="s">
        <v>193</v>
      </c>
      <c r="L10" s="51"/>
      <c r="M10" s="50"/>
      <c r="N10" s="32" t="s">
        <v>200</v>
      </c>
      <c r="O10" s="5" t="s">
        <v>193</v>
      </c>
      <c r="P10" s="51"/>
      <c r="R10" s="48"/>
      <c r="S10" s="22"/>
      <c r="T10" s="2">
        <v>10</v>
      </c>
      <c r="U10" s="23"/>
      <c r="V10" s="24"/>
      <c r="W10" s="23"/>
    </row>
    <row r="11" spans="1:23" ht="11.25" customHeight="1">
      <c r="C11" s="49" t="s">
        <v>201</v>
      </c>
      <c r="D11" s="23"/>
      <c r="E11" s="24" t="s">
        <v>193</v>
      </c>
      <c r="F11" s="50"/>
      <c r="G11" s="51"/>
      <c r="H11" s="50"/>
      <c r="I11" s="2" t="s">
        <v>100</v>
      </c>
      <c r="K11" s="2" t="s">
        <v>193</v>
      </c>
      <c r="L11" s="51"/>
      <c r="M11" s="50"/>
      <c r="N11" s="32" t="s">
        <v>202</v>
      </c>
      <c r="O11" s="5" t="s">
        <v>193</v>
      </c>
      <c r="P11" s="51"/>
      <c r="R11" s="48"/>
      <c r="S11" s="22"/>
      <c r="T11" s="2">
        <v>11</v>
      </c>
      <c r="U11" s="23"/>
      <c r="V11" s="24"/>
      <c r="W11" s="23"/>
    </row>
    <row r="12" spans="1:23" ht="11.25" customHeight="1">
      <c r="C12" s="49" t="s">
        <v>203</v>
      </c>
      <c r="D12" s="23"/>
      <c r="E12" s="24" t="s">
        <v>193</v>
      </c>
      <c r="F12" s="50"/>
      <c r="G12" s="51"/>
      <c r="H12" s="50"/>
      <c r="I12" s="5" t="s">
        <v>204</v>
      </c>
      <c r="J12" s="5"/>
      <c r="K12" s="2" t="s">
        <v>193</v>
      </c>
      <c r="L12" s="51"/>
      <c r="M12" s="50"/>
      <c r="N12" s="54" t="s">
        <v>205</v>
      </c>
      <c r="O12" s="5" t="s">
        <v>193</v>
      </c>
      <c r="P12" s="51"/>
      <c r="R12" s="48"/>
      <c r="S12" s="22"/>
      <c r="T12" s="2">
        <v>12</v>
      </c>
      <c r="U12" s="23"/>
      <c r="V12" s="24"/>
      <c r="W12" s="23"/>
    </row>
    <row r="13" spans="1:23" ht="11.25" customHeight="1">
      <c r="C13" s="49" t="s">
        <v>206</v>
      </c>
      <c r="D13" s="23"/>
      <c r="E13" s="24" t="s">
        <v>193</v>
      </c>
      <c r="F13" s="50"/>
      <c r="G13" s="51"/>
      <c r="H13" s="50"/>
      <c r="I13" s="32" t="s">
        <v>207</v>
      </c>
      <c r="K13" s="2" t="s">
        <v>193</v>
      </c>
      <c r="L13" s="51"/>
      <c r="M13" s="50"/>
      <c r="N13" s="5" t="s">
        <v>208</v>
      </c>
      <c r="O13" s="5" t="s">
        <v>193</v>
      </c>
      <c r="P13" s="51"/>
      <c r="R13" s="48"/>
      <c r="S13" s="22"/>
      <c r="T13" s="2">
        <v>13</v>
      </c>
      <c r="U13" s="23"/>
      <c r="V13" s="24"/>
      <c r="W13" s="23"/>
    </row>
    <row r="14" spans="1:23" ht="11.25" customHeight="1">
      <c r="C14" s="49" t="s">
        <v>209</v>
      </c>
      <c r="D14" s="23"/>
      <c r="E14" s="24" t="s">
        <v>193</v>
      </c>
      <c r="F14" s="50"/>
      <c r="G14" s="51"/>
      <c r="H14" s="50"/>
      <c r="I14" s="5" t="s">
        <v>210</v>
      </c>
      <c r="J14" s="5"/>
      <c r="K14" s="2" t="s">
        <v>193</v>
      </c>
      <c r="L14" s="51"/>
      <c r="M14" s="50"/>
      <c r="N14" s="32" t="s">
        <v>211</v>
      </c>
      <c r="O14" s="5" t="s">
        <v>193</v>
      </c>
      <c r="P14" s="51"/>
      <c r="R14" s="48" t="s">
        <v>212</v>
      </c>
      <c r="S14" s="22"/>
      <c r="T14" s="2">
        <v>14</v>
      </c>
      <c r="U14" s="23"/>
      <c r="V14" s="24"/>
      <c r="W14" s="23"/>
    </row>
    <row r="15" spans="1:23" ht="11.25" customHeight="1">
      <c r="C15" s="49" t="s">
        <v>213</v>
      </c>
      <c r="D15" s="23"/>
      <c r="E15" s="24" t="s">
        <v>193</v>
      </c>
      <c r="F15" s="50"/>
      <c r="G15" s="51"/>
      <c r="H15" s="50"/>
      <c r="I15" s="5" t="s">
        <v>214</v>
      </c>
      <c r="K15" s="2" t="s">
        <v>193</v>
      </c>
      <c r="L15" s="51"/>
      <c r="M15" s="50"/>
      <c r="N15" s="32" t="s">
        <v>215</v>
      </c>
      <c r="O15" s="5" t="s">
        <v>193</v>
      </c>
      <c r="P15" s="51"/>
      <c r="R15" s="55"/>
      <c r="S15" s="55"/>
      <c r="T15" s="2">
        <v>15</v>
      </c>
      <c r="U15" s="23"/>
      <c r="V15" s="24"/>
      <c r="W15" s="56"/>
    </row>
    <row r="16" spans="1:23" ht="11.25" customHeight="1">
      <c r="C16" s="53" t="s">
        <v>216</v>
      </c>
      <c r="D16" s="23"/>
      <c r="E16" s="24" t="s">
        <v>193</v>
      </c>
      <c r="F16" s="50"/>
      <c r="G16" s="51"/>
      <c r="H16" s="50"/>
      <c r="L16" s="57"/>
      <c r="M16" s="50"/>
      <c r="N16" s="32" t="s">
        <v>116</v>
      </c>
      <c r="O16" s="5" t="s">
        <v>193</v>
      </c>
      <c r="P16" s="51"/>
      <c r="R16" s="55"/>
      <c r="S16" s="55"/>
      <c r="T16" s="2">
        <v>16</v>
      </c>
      <c r="U16" s="23"/>
      <c r="V16" s="24"/>
      <c r="W16" s="30"/>
    </row>
    <row r="17" spans="3:23" ht="11.25" customHeight="1">
      <c r="C17" s="49" t="s">
        <v>217</v>
      </c>
      <c r="D17" s="23"/>
      <c r="E17" s="24" t="s">
        <v>193</v>
      </c>
      <c r="F17" s="50"/>
      <c r="G17" s="51"/>
      <c r="H17" s="50"/>
      <c r="I17" s="5"/>
      <c r="J17" s="32"/>
      <c r="K17" s="2" t="s">
        <v>193</v>
      </c>
      <c r="L17" s="51"/>
      <c r="M17" s="50"/>
      <c r="N17" s="2" t="s">
        <v>117</v>
      </c>
      <c r="O17" s="5" t="s">
        <v>193</v>
      </c>
      <c r="P17" s="51"/>
      <c r="R17" s="22"/>
      <c r="S17" s="55"/>
      <c r="T17" s="2">
        <v>17</v>
      </c>
      <c r="U17" s="23"/>
      <c r="V17" s="24"/>
      <c r="W17" s="23"/>
    </row>
    <row r="18" spans="3:23" ht="11.25" customHeight="1">
      <c r="C18" s="49" t="s">
        <v>218</v>
      </c>
      <c r="D18" s="23"/>
      <c r="E18" s="24" t="s">
        <v>193</v>
      </c>
      <c r="F18" s="50"/>
      <c r="G18" s="51"/>
      <c r="H18" s="50"/>
      <c r="I18" s="5" t="s">
        <v>219</v>
      </c>
      <c r="J18" s="5"/>
      <c r="K18" s="2" t="s">
        <v>193</v>
      </c>
      <c r="L18" s="51"/>
      <c r="M18" s="50"/>
      <c r="N18" s="32" t="s">
        <v>220</v>
      </c>
      <c r="O18" s="5" t="s">
        <v>193</v>
      </c>
      <c r="P18" s="51"/>
      <c r="R18" s="22"/>
      <c r="S18" s="22"/>
      <c r="T18" s="2">
        <v>18</v>
      </c>
      <c r="U18" s="23"/>
      <c r="V18" s="24"/>
      <c r="W18" s="23"/>
    </row>
    <row r="19" spans="3:23" ht="11.25" customHeight="1">
      <c r="C19" s="49" t="s">
        <v>221</v>
      </c>
      <c r="D19" s="23"/>
      <c r="E19" s="24" t="s">
        <v>193</v>
      </c>
      <c r="F19" s="50"/>
      <c r="G19" s="51"/>
      <c r="H19" s="50"/>
      <c r="I19" s="5" t="s">
        <v>221</v>
      </c>
      <c r="J19" s="32"/>
      <c r="K19" s="2" t="s">
        <v>193</v>
      </c>
      <c r="L19" s="51"/>
      <c r="M19" s="50"/>
      <c r="N19" s="2" t="s">
        <v>222</v>
      </c>
      <c r="O19" s="5" t="s">
        <v>193</v>
      </c>
      <c r="P19" s="51"/>
      <c r="R19" s="55"/>
      <c r="S19" s="22"/>
      <c r="T19" s="2">
        <v>19</v>
      </c>
      <c r="U19" s="23"/>
      <c r="V19" s="24"/>
      <c r="W19" s="23"/>
    </row>
    <row r="20" spans="3:23" ht="11.25" customHeight="1">
      <c r="C20" s="49" t="s">
        <v>223</v>
      </c>
      <c r="D20" s="23"/>
      <c r="E20" s="24" t="s">
        <v>193</v>
      </c>
      <c r="F20" s="50"/>
      <c r="G20" s="51"/>
      <c r="H20" s="50"/>
      <c r="I20" s="32" t="s">
        <v>224</v>
      </c>
      <c r="J20" s="32"/>
      <c r="K20" s="5" t="s">
        <v>193</v>
      </c>
      <c r="L20" s="51"/>
      <c r="M20" s="58"/>
      <c r="N20" s="2" t="s">
        <v>225</v>
      </c>
      <c r="O20" s="5" t="s">
        <v>193</v>
      </c>
      <c r="P20" s="51"/>
      <c r="R20" s="55"/>
      <c r="S20" s="22"/>
      <c r="T20" s="2">
        <v>20</v>
      </c>
      <c r="U20" s="23"/>
      <c r="V20" s="24"/>
      <c r="W20" s="23"/>
    </row>
    <row r="21" spans="3:23" ht="11.25" customHeight="1">
      <c r="C21" s="49" t="s">
        <v>226</v>
      </c>
      <c r="D21" s="23"/>
      <c r="E21" s="24" t="s">
        <v>193</v>
      </c>
      <c r="F21" s="50"/>
      <c r="G21" s="51"/>
      <c r="H21" s="50"/>
      <c r="I21" s="2" t="s">
        <v>227</v>
      </c>
      <c r="K21" s="5" t="s">
        <v>193</v>
      </c>
      <c r="L21" s="51"/>
      <c r="M21" s="58"/>
      <c r="N21" s="32" t="s">
        <v>228</v>
      </c>
      <c r="O21" s="5" t="s">
        <v>193</v>
      </c>
      <c r="P21" s="51"/>
      <c r="R21" s="55"/>
      <c r="S21" s="22"/>
      <c r="T21" s="2">
        <v>21</v>
      </c>
      <c r="U21" s="23"/>
      <c r="V21" s="24"/>
      <c r="W21" s="23"/>
    </row>
    <row r="22" spans="3:23" ht="11.65" customHeight="1">
      <c r="C22" s="59" t="s">
        <v>229</v>
      </c>
      <c r="D22" s="60"/>
      <c r="E22" s="60"/>
      <c r="F22" s="60"/>
      <c r="G22" s="61"/>
      <c r="H22" s="50"/>
      <c r="I22" s="62" t="s">
        <v>230</v>
      </c>
      <c r="J22" s="60"/>
      <c r="K22" s="63"/>
      <c r="L22" s="61"/>
      <c r="M22" s="58"/>
      <c r="N22" s="2" t="s">
        <v>121</v>
      </c>
      <c r="O22" s="5" t="s">
        <v>193</v>
      </c>
      <c r="P22" s="51"/>
      <c r="R22" s="55"/>
      <c r="S22" s="22"/>
      <c r="T22" s="2">
        <v>22</v>
      </c>
      <c r="U22" s="23"/>
      <c r="V22" s="24"/>
      <c r="W22" s="23"/>
    </row>
    <row r="23" spans="3:23" ht="21" customHeight="1" thickBot="1">
      <c r="C23" s="64"/>
      <c r="D23" s="65"/>
      <c r="E23" s="65"/>
      <c r="F23" s="66"/>
      <c r="G23" s="67"/>
      <c r="H23" s="68"/>
      <c r="I23" s="69" t="s">
        <v>108</v>
      </c>
      <c r="J23" s="69"/>
      <c r="K23" s="69"/>
      <c r="L23" s="70"/>
      <c r="M23" s="71"/>
      <c r="N23" s="69" t="s">
        <v>122</v>
      </c>
      <c r="O23" s="69"/>
      <c r="P23" s="70"/>
      <c r="Q23" s="2" t="s">
        <v>231</v>
      </c>
      <c r="R23" s="72">
        <v>8017.83</v>
      </c>
      <c r="S23" s="73">
        <v>0</v>
      </c>
      <c r="T23" s="2">
        <v>23</v>
      </c>
      <c r="U23" s="23"/>
      <c r="V23" s="24"/>
      <c r="W23" s="23"/>
    </row>
    <row r="24" spans="3:23" ht="11.25" customHeight="1">
      <c r="C24" s="74" t="s">
        <v>232</v>
      </c>
      <c r="D24" s="75"/>
      <c r="E24" s="75" t="s">
        <v>193</v>
      </c>
      <c r="F24" s="76"/>
      <c r="G24" s="77"/>
      <c r="H24" s="78"/>
      <c r="I24" s="10"/>
      <c r="J24" s="10"/>
      <c r="K24" s="32"/>
      <c r="L24" s="47"/>
      <c r="M24" s="32"/>
      <c r="N24" s="32"/>
      <c r="O24" s="32"/>
      <c r="P24" s="79"/>
      <c r="Q24" s="2" t="s">
        <v>233</v>
      </c>
      <c r="R24" s="73">
        <v>1180.71</v>
      </c>
      <c r="S24" s="73">
        <v>0</v>
      </c>
      <c r="T24" s="2">
        <v>24</v>
      </c>
      <c r="U24" s="24"/>
      <c r="V24" s="24"/>
      <c r="W24" s="23"/>
    </row>
    <row r="25" spans="3:23" ht="12.75" customHeight="1" thickBot="1">
      <c r="C25" s="74" t="s">
        <v>234</v>
      </c>
      <c r="D25" s="75"/>
      <c r="E25" s="75" t="s">
        <v>193</v>
      </c>
      <c r="F25" s="76"/>
      <c r="G25" s="77"/>
      <c r="H25" s="78"/>
      <c r="I25" s="80" t="s">
        <v>235</v>
      </c>
      <c r="J25" s="52"/>
      <c r="K25" s="32"/>
      <c r="L25" s="81"/>
      <c r="M25" s="32"/>
      <c r="N25" s="82" t="s">
        <v>123</v>
      </c>
      <c r="O25" s="82"/>
      <c r="P25" s="83"/>
      <c r="Q25" s="2" t="s">
        <v>236</v>
      </c>
      <c r="R25" s="72">
        <v>6837.12</v>
      </c>
      <c r="S25" s="73">
        <v>0</v>
      </c>
      <c r="T25" s="2">
        <v>25</v>
      </c>
      <c r="U25" s="23"/>
      <c r="V25" s="24"/>
      <c r="W25" s="23"/>
    </row>
    <row r="26" spans="3:23" ht="11.25" customHeight="1" thickTop="1">
      <c r="C26" s="84"/>
      <c r="D26" s="85"/>
      <c r="E26" s="85"/>
      <c r="F26" s="85"/>
      <c r="G26" s="86"/>
      <c r="H26" s="85"/>
      <c r="I26" s="85"/>
      <c r="J26" s="85"/>
      <c r="K26" s="85"/>
      <c r="L26" s="86"/>
      <c r="M26" s="85"/>
      <c r="N26" s="85"/>
      <c r="O26" s="85"/>
      <c r="P26" s="87"/>
      <c r="R26" s="22"/>
      <c r="S26" s="22"/>
      <c r="T26" s="2">
        <v>26</v>
      </c>
      <c r="U26" s="23"/>
      <c r="V26" s="24"/>
      <c r="W26" s="23"/>
    </row>
    <row r="27" spans="3:23" ht="11.25" customHeight="1">
      <c r="D27" s="2"/>
      <c r="G27" s="2"/>
      <c r="H27" s="2"/>
      <c r="N27" s="2"/>
      <c r="O27" s="2"/>
      <c r="P27" s="6"/>
      <c r="T27" s="2">
        <v>27</v>
      </c>
    </row>
    <row r="28" spans="3:23" ht="11.25" customHeight="1">
      <c r="H28" s="2"/>
      <c r="N28" s="2"/>
      <c r="O28" s="2"/>
      <c r="P28" s="2"/>
      <c r="T28" s="2">
        <v>28</v>
      </c>
    </row>
    <row r="29" spans="3:23" ht="11.25" customHeight="1">
      <c r="H29" s="2"/>
      <c r="N29" s="2"/>
      <c r="O29" s="2"/>
      <c r="P29" s="2"/>
      <c r="T29" s="2">
        <v>29</v>
      </c>
    </row>
    <row r="30" spans="3:23" ht="11.25" customHeight="1">
      <c r="D30" s="2"/>
      <c r="G30" s="2"/>
      <c r="H30" s="2"/>
      <c r="N30" s="2"/>
      <c r="O30" s="2"/>
      <c r="P30" s="2"/>
      <c r="T30" s="2">
        <v>30</v>
      </c>
    </row>
    <row r="31" spans="3:23" ht="11.25" customHeight="1">
      <c r="D31" s="2"/>
      <c r="G31" s="2"/>
      <c r="H31" s="2"/>
      <c r="I31" s="2" t="s">
        <v>237</v>
      </c>
      <c r="N31" s="2"/>
      <c r="O31" s="2"/>
      <c r="P31" s="2"/>
      <c r="T31" s="2">
        <v>31</v>
      </c>
    </row>
    <row r="32" spans="3:23" ht="11.25" customHeight="1">
      <c r="D32" s="2"/>
      <c r="G32" s="2"/>
      <c r="H32" s="2"/>
      <c r="N32" s="2"/>
      <c r="O32" s="2"/>
      <c r="P32" s="2"/>
      <c r="T32" s="2">
        <v>32</v>
      </c>
    </row>
    <row r="33" spans="1:23" ht="11.25" customHeight="1">
      <c r="D33" s="2"/>
      <c r="G33" s="2"/>
      <c r="H33" s="2"/>
      <c r="N33" s="2"/>
      <c r="O33" s="2"/>
      <c r="P33" s="2"/>
      <c r="T33" s="2">
        <v>33</v>
      </c>
    </row>
    <row r="34" spans="1:23" ht="11.25" customHeight="1">
      <c r="A34" s="1">
        <v>2</v>
      </c>
      <c r="C34" s="8"/>
      <c r="D34" s="9" t="s">
        <v>0</v>
      </c>
      <c r="G34" s="2"/>
      <c r="H34" s="2"/>
      <c r="I34" s="10"/>
      <c r="J34" s="11"/>
      <c r="N34" s="2"/>
      <c r="O34" s="2"/>
      <c r="P34" s="2"/>
      <c r="T34" s="2">
        <v>34</v>
      </c>
    </row>
    <row r="35" spans="1:23" ht="22.5" customHeight="1">
      <c r="C35" s="12">
        <v>758</v>
      </c>
      <c r="D35" s="13" t="s">
        <v>169</v>
      </c>
      <c r="E35" s="14"/>
      <c r="F35" s="15"/>
      <c r="G35" s="15"/>
      <c r="H35" s="15"/>
      <c r="I35" s="15"/>
      <c r="J35" s="16"/>
      <c r="K35" s="17"/>
      <c r="L35" s="18"/>
      <c r="M35" s="19" t="s">
        <v>181</v>
      </c>
      <c r="N35" s="18"/>
      <c r="O35" s="20"/>
      <c r="P35" s="21" t="s">
        <v>2</v>
      </c>
      <c r="R35" s="22"/>
      <c r="S35" s="22"/>
      <c r="T35" s="2">
        <v>35</v>
      </c>
      <c r="U35" s="23"/>
      <c r="V35" s="24"/>
      <c r="W35" s="23"/>
    </row>
    <row r="36" spans="1:23" ht="11.65" customHeight="1">
      <c r="C36" s="88" t="s">
        <v>184</v>
      </c>
      <c r="D36" s="26" t="s">
        <v>170</v>
      </c>
      <c r="E36" s="89"/>
      <c r="F36" s="27"/>
      <c r="G36" s="27"/>
      <c r="H36" s="27"/>
      <c r="I36" s="27"/>
      <c r="J36" s="90"/>
      <c r="K36" s="91"/>
      <c r="L36" s="8" t="s">
        <v>185</v>
      </c>
      <c r="M36" s="28"/>
      <c r="N36" s="9"/>
      <c r="O36" s="9"/>
      <c r="P36" s="29" t="s">
        <v>238</v>
      </c>
      <c r="R36" s="22"/>
      <c r="S36" s="22"/>
      <c r="T36" s="2">
        <v>36</v>
      </c>
      <c r="U36" s="23"/>
      <c r="V36" s="24"/>
      <c r="W36" s="23"/>
    </row>
    <row r="37" spans="1:23" ht="11.25" customHeight="1">
      <c r="C37" s="92"/>
      <c r="D37" s="23"/>
      <c r="E37" s="93"/>
      <c r="F37" s="31"/>
      <c r="G37" s="31"/>
      <c r="H37" s="31"/>
      <c r="I37" s="31"/>
      <c r="J37" s="10"/>
      <c r="K37" s="5"/>
      <c r="M37" s="32"/>
      <c r="N37" s="2"/>
      <c r="O37" s="2"/>
      <c r="P37" s="32"/>
      <c r="R37" s="22"/>
      <c r="S37" s="22"/>
      <c r="T37" s="2">
        <v>37</v>
      </c>
      <c r="U37" s="23"/>
      <c r="V37" s="24"/>
      <c r="W37" s="23"/>
    </row>
    <row r="38" spans="1:23" ht="10.5" customHeight="1">
      <c r="C38" s="33"/>
      <c r="D38" s="34"/>
      <c r="E38" s="34"/>
      <c r="F38" s="35"/>
      <c r="G38" s="36"/>
      <c r="H38" s="35"/>
      <c r="I38" s="35"/>
      <c r="J38" s="37"/>
      <c r="K38" s="38"/>
      <c r="L38" s="39"/>
      <c r="M38" s="38"/>
      <c r="N38" s="40"/>
      <c r="O38" s="38"/>
      <c r="P38" s="39"/>
      <c r="R38" s="22"/>
      <c r="S38" s="22"/>
      <c r="T38" s="2">
        <v>38</v>
      </c>
      <c r="U38" s="23"/>
      <c r="V38" s="24"/>
      <c r="W38" s="23"/>
    </row>
    <row r="39" spans="1:23" ht="11.25" customHeight="1">
      <c r="C39" s="41" t="s">
        <v>187</v>
      </c>
      <c r="D39" s="42"/>
      <c r="E39" s="42"/>
      <c r="F39" s="43" t="s">
        <v>188</v>
      </c>
      <c r="G39" s="44" t="s">
        <v>189</v>
      </c>
      <c r="H39" s="43"/>
      <c r="I39" s="45" t="s">
        <v>190</v>
      </c>
      <c r="J39" s="45"/>
      <c r="K39" s="45"/>
      <c r="L39" s="46"/>
      <c r="M39" s="45"/>
      <c r="N39" s="45" t="s">
        <v>191</v>
      </c>
      <c r="O39" s="32"/>
      <c r="P39" s="47"/>
      <c r="R39" s="22"/>
      <c r="S39" s="48"/>
      <c r="T39" s="2">
        <v>39</v>
      </c>
      <c r="U39" s="23"/>
      <c r="V39" s="24"/>
      <c r="W39" s="23"/>
    </row>
    <row r="40" spans="1:23" ht="11.25" customHeight="1">
      <c r="C40" s="49" t="s">
        <v>192</v>
      </c>
      <c r="D40" s="23"/>
      <c r="E40" s="24" t="s">
        <v>193</v>
      </c>
      <c r="F40" s="50"/>
      <c r="G40" s="51"/>
      <c r="H40" s="52"/>
      <c r="I40" s="32" t="s">
        <v>194</v>
      </c>
      <c r="J40" s="32"/>
      <c r="K40" s="32"/>
      <c r="L40" s="51"/>
      <c r="M40" s="52"/>
      <c r="N40" s="2" t="s">
        <v>195</v>
      </c>
      <c r="O40" s="2" t="s">
        <v>193</v>
      </c>
      <c r="P40" s="51"/>
      <c r="R40" s="22"/>
      <c r="S40" s="22"/>
      <c r="T40" s="2">
        <v>40</v>
      </c>
      <c r="U40" s="23"/>
      <c r="V40" s="24"/>
      <c r="W40" s="23"/>
    </row>
    <row r="41" spans="1:23" ht="11.25" customHeight="1">
      <c r="C41" s="53" t="s">
        <v>196</v>
      </c>
      <c r="D41" s="2"/>
      <c r="E41" s="24" t="s">
        <v>193</v>
      </c>
      <c r="F41" s="50"/>
      <c r="G41" s="51"/>
      <c r="H41" s="50"/>
      <c r="I41" s="32" t="s">
        <v>197</v>
      </c>
      <c r="J41" s="32"/>
      <c r="K41" s="5" t="s">
        <v>193</v>
      </c>
      <c r="L41" s="51"/>
      <c r="M41" s="50"/>
      <c r="N41" s="32" t="s">
        <v>198</v>
      </c>
      <c r="O41" s="5" t="s">
        <v>193</v>
      </c>
      <c r="P41" s="51"/>
      <c r="R41" s="22"/>
      <c r="S41" s="22"/>
      <c r="T41" s="2">
        <v>41</v>
      </c>
      <c r="U41" s="23"/>
      <c r="V41" s="24"/>
      <c r="W41" s="23"/>
    </row>
    <row r="42" spans="1:23" ht="11.25" customHeight="1">
      <c r="C42" s="49" t="s">
        <v>199</v>
      </c>
      <c r="D42" s="23"/>
      <c r="E42" s="24" t="s">
        <v>193</v>
      </c>
      <c r="F42" s="50"/>
      <c r="G42" s="51"/>
      <c r="H42" s="50"/>
      <c r="I42" s="32" t="s">
        <v>99</v>
      </c>
      <c r="J42" s="32"/>
      <c r="K42" s="5" t="s">
        <v>193</v>
      </c>
      <c r="L42" s="51"/>
      <c r="M42" s="50"/>
      <c r="N42" s="32" t="s">
        <v>200</v>
      </c>
      <c r="O42" s="5" t="s">
        <v>193</v>
      </c>
      <c r="P42" s="51"/>
      <c r="R42" s="48"/>
      <c r="S42" s="22"/>
      <c r="T42" s="2">
        <v>42</v>
      </c>
      <c r="U42" s="23"/>
      <c r="V42" s="24"/>
      <c r="W42" s="23"/>
    </row>
    <row r="43" spans="1:23" ht="11.25" customHeight="1">
      <c r="C43" s="49" t="s">
        <v>201</v>
      </c>
      <c r="D43" s="23"/>
      <c r="E43" s="24" t="s">
        <v>193</v>
      </c>
      <c r="F43" s="50"/>
      <c r="G43" s="51"/>
      <c r="H43" s="50"/>
      <c r="I43" s="2" t="s">
        <v>100</v>
      </c>
      <c r="J43" s="32"/>
      <c r="K43" s="5" t="s">
        <v>193</v>
      </c>
      <c r="L43" s="51"/>
      <c r="M43" s="50"/>
      <c r="N43" s="32" t="s">
        <v>202</v>
      </c>
      <c r="O43" s="5" t="s">
        <v>193</v>
      </c>
      <c r="P43" s="51"/>
      <c r="R43" s="48"/>
      <c r="S43" s="22"/>
      <c r="T43" s="2">
        <v>43</v>
      </c>
      <c r="U43" s="23"/>
      <c r="V43" s="24"/>
      <c r="W43" s="23"/>
    </row>
    <row r="44" spans="1:23" ht="11.25" customHeight="1">
      <c r="C44" s="49" t="s">
        <v>203</v>
      </c>
      <c r="D44" s="23"/>
      <c r="E44" s="24" t="s">
        <v>193</v>
      </c>
      <c r="F44" s="50"/>
      <c r="G44" s="51"/>
      <c r="H44" s="50"/>
      <c r="I44" s="5" t="s">
        <v>204</v>
      </c>
      <c r="K44" s="2" t="s">
        <v>193</v>
      </c>
      <c r="L44" s="51"/>
      <c r="M44" s="50"/>
      <c r="N44" s="54" t="s">
        <v>205</v>
      </c>
      <c r="O44" s="5" t="s">
        <v>193</v>
      </c>
      <c r="P44" s="51"/>
      <c r="R44" s="48"/>
      <c r="S44" s="22"/>
      <c r="T44" s="2">
        <v>44</v>
      </c>
      <c r="U44" s="23"/>
      <c r="V44" s="24"/>
      <c r="W44" s="23"/>
    </row>
    <row r="45" spans="1:23" ht="11.25" customHeight="1">
      <c r="C45" s="49" t="s">
        <v>206</v>
      </c>
      <c r="D45" s="23"/>
      <c r="E45" s="24" t="s">
        <v>193</v>
      </c>
      <c r="F45" s="50"/>
      <c r="G45" s="51"/>
      <c r="H45" s="50"/>
      <c r="I45" s="32" t="s">
        <v>207</v>
      </c>
      <c r="J45" s="5"/>
      <c r="K45" s="2" t="s">
        <v>193</v>
      </c>
      <c r="L45" s="51"/>
      <c r="M45" s="50"/>
      <c r="N45" s="5" t="s">
        <v>208</v>
      </c>
      <c r="O45" s="5" t="s">
        <v>193</v>
      </c>
      <c r="P45" s="51"/>
      <c r="R45" s="48"/>
      <c r="S45" s="22"/>
      <c r="T45" s="2">
        <v>45</v>
      </c>
      <c r="U45" s="23"/>
      <c r="V45" s="24"/>
      <c r="W45" s="23"/>
    </row>
    <row r="46" spans="1:23" ht="11.25" customHeight="1">
      <c r="C46" s="49" t="s">
        <v>209</v>
      </c>
      <c r="D46" s="23"/>
      <c r="E46" s="24" t="s">
        <v>193</v>
      </c>
      <c r="F46" s="50"/>
      <c r="G46" s="51"/>
      <c r="H46" s="50"/>
      <c r="I46" s="5" t="s">
        <v>210</v>
      </c>
      <c r="K46" s="2" t="s">
        <v>193</v>
      </c>
      <c r="L46" s="51"/>
      <c r="M46" s="50"/>
      <c r="N46" s="32" t="s">
        <v>211</v>
      </c>
      <c r="O46" s="5" t="s">
        <v>193</v>
      </c>
      <c r="P46" s="51"/>
      <c r="R46" s="48"/>
      <c r="S46" s="22"/>
      <c r="T46" s="2">
        <v>46</v>
      </c>
      <c r="U46" s="23"/>
      <c r="V46" s="24"/>
      <c r="W46" s="23"/>
    </row>
    <row r="47" spans="1:23" ht="11.25" customHeight="1">
      <c r="C47" s="49" t="s">
        <v>213</v>
      </c>
      <c r="D47" s="23"/>
      <c r="E47" s="24" t="s">
        <v>193</v>
      </c>
      <c r="F47" s="50"/>
      <c r="G47" s="51"/>
      <c r="H47" s="50"/>
      <c r="I47" s="5" t="s">
        <v>214</v>
      </c>
      <c r="J47" s="5"/>
      <c r="K47" s="2" t="s">
        <v>193</v>
      </c>
      <c r="L47" s="51"/>
      <c r="M47" s="50"/>
      <c r="N47" s="32" t="s">
        <v>215</v>
      </c>
      <c r="O47" s="5" t="s">
        <v>193</v>
      </c>
      <c r="P47" s="51"/>
      <c r="R47" s="55"/>
      <c r="S47" s="55"/>
      <c r="T47" s="2">
        <v>47</v>
      </c>
      <c r="U47" s="23"/>
      <c r="V47" s="24"/>
      <c r="W47" s="56"/>
    </row>
    <row r="48" spans="1:23" ht="11.25" customHeight="1">
      <c r="C48" s="53" t="s">
        <v>216</v>
      </c>
      <c r="D48" s="23"/>
      <c r="E48" s="24" t="s">
        <v>193</v>
      </c>
      <c r="F48" s="50"/>
      <c r="G48" s="51"/>
      <c r="H48" s="50"/>
      <c r="K48" s="2" t="s">
        <v>193</v>
      </c>
      <c r="L48" s="57"/>
      <c r="M48" s="50"/>
      <c r="N48" s="32" t="s">
        <v>116</v>
      </c>
      <c r="O48" s="5" t="s">
        <v>193</v>
      </c>
      <c r="P48" s="51"/>
      <c r="R48" s="55"/>
      <c r="S48" s="55"/>
      <c r="T48" s="2">
        <v>48</v>
      </c>
      <c r="U48" s="23"/>
      <c r="V48" s="24"/>
      <c r="W48" s="30"/>
    </row>
    <row r="49" spans="3:23" ht="11.25" customHeight="1">
      <c r="C49" s="49" t="s">
        <v>217</v>
      </c>
      <c r="D49" s="23"/>
      <c r="E49" s="24" t="s">
        <v>193</v>
      </c>
      <c r="F49" s="50"/>
      <c r="G49" s="51"/>
      <c r="H49" s="50"/>
      <c r="I49" s="5"/>
      <c r="J49" s="32"/>
      <c r="K49" s="2" t="s">
        <v>193</v>
      </c>
      <c r="L49" s="51"/>
      <c r="M49" s="50"/>
      <c r="N49" s="2" t="s">
        <v>117</v>
      </c>
      <c r="O49" s="5" t="s">
        <v>193</v>
      </c>
      <c r="P49" s="51"/>
      <c r="R49" s="22"/>
      <c r="S49" s="55"/>
      <c r="T49" s="2">
        <v>49</v>
      </c>
      <c r="U49" s="23"/>
      <c r="V49" s="24"/>
      <c r="W49" s="23"/>
    </row>
    <row r="50" spans="3:23" ht="11.25" customHeight="1">
      <c r="C50" s="49" t="s">
        <v>218</v>
      </c>
      <c r="D50" s="23"/>
      <c r="E50" s="24" t="s">
        <v>193</v>
      </c>
      <c r="F50" s="50"/>
      <c r="G50" s="51"/>
      <c r="H50" s="50"/>
      <c r="I50" s="5" t="s">
        <v>219</v>
      </c>
      <c r="J50" s="5"/>
      <c r="K50" s="2" t="s">
        <v>193</v>
      </c>
      <c r="L50" s="51"/>
      <c r="M50" s="50"/>
      <c r="N50" s="32" t="s">
        <v>220</v>
      </c>
      <c r="O50" s="5" t="s">
        <v>193</v>
      </c>
      <c r="P50" s="51"/>
      <c r="R50" s="22"/>
      <c r="S50" s="22"/>
      <c r="T50" s="2">
        <v>50</v>
      </c>
      <c r="U50" s="23"/>
      <c r="V50" s="24"/>
      <c r="W50" s="23"/>
    </row>
    <row r="51" spans="3:23" ht="11.25" customHeight="1">
      <c r="C51" s="49" t="s">
        <v>221</v>
      </c>
      <c r="D51" s="23"/>
      <c r="E51" s="24" t="s">
        <v>193</v>
      </c>
      <c r="F51" s="50"/>
      <c r="G51" s="51"/>
      <c r="H51" s="50"/>
      <c r="I51" s="5" t="s">
        <v>221</v>
      </c>
      <c r="J51" s="32"/>
      <c r="K51" s="2" t="s">
        <v>193</v>
      </c>
      <c r="L51" s="51"/>
      <c r="M51" s="50"/>
      <c r="N51" s="2" t="s">
        <v>222</v>
      </c>
      <c r="O51" s="5" t="s">
        <v>193</v>
      </c>
      <c r="P51" s="51"/>
      <c r="R51" s="55"/>
      <c r="S51" s="22"/>
      <c r="T51" s="2">
        <v>51</v>
      </c>
      <c r="U51" s="23"/>
      <c r="V51" s="24"/>
      <c r="W51" s="23"/>
    </row>
    <row r="52" spans="3:23" ht="11.25" customHeight="1">
      <c r="C52" s="49" t="s">
        <v>223</v>
      </c>
      <c r="D52" s="23"/>
      <c r="E52" s="24" t="s">
        <v>193</v>
      </c>
      <c r="F52" s="50"/>
      <c r="G52" s="51"/>
      <c r="H52" s="50"/>
      <c r="I52" s="32" t="s">
        <v>224</v>
      </c>
      <c r="J52" s="32"/>
      <c r="K52" s="5" t="s">
        <v>193</v>
      </c>
      <c r="L52" s="51"/>
      <c r="M52" s="58"/>
      <c r="N52" s="2" t="s">
        <v>225</v>
      </c>
      <c r="O52" s="5" t="s">
        <v>193</v>
      </c>
      <c r="P52" s="51"/>
      <c r="R52" s="55"/>
      <c r="S52" s="22"/>
      <c r="T52" s="2">
        <v>52</v>
      </c>
      <c r="U52" s="23"/>
      <c r="V52" s="24"/>
      <c r="W52" s="23"/>
    </row>
    <row r="53" spans="3:23" ht="11.25" customHeight="1">
      <c r="C53" s="49" t="s">
        <v>226</v>
      </c>
      <c r="D53" s="23"/>
      <c r="E53" s="24" t="s">
        <v>193</v>
      </c>
      <c r="F53" s="50"/>
      <c r="G53" s="51"/>
      <c r="H53" s="50"/>
      <c r="I53" s="2" t="s">
        <v>227</v>
      </c>
      <c r="K53" s="5" t="s">
        <v>193</v>
      </c>
      <c r="L53" s="51"/>
      <c r="M53" s="58"/>
      <c r="N53" s="32" t="s">
        <v>228</v>
      </c>
      <c r="O53" s="5" t="s">
        <v>193</v>
      </c>
      <c r="P53" s="51"/>
      <c r="R53" s="55"/>
      <c r="S53" s="22"/>
      <c r="T53" s="2">
        <v>53</v>
      </c>
      <c r="U53" s="23"/>
      <c r="V53" s="24"/>
      <c r="W53" s="23"/>
    </row>
    <row r="54" spans="3:23" ht="11.65" customHeight="1">
      <c r="C54" s="59" t="s">
        <v>229</v>
      </c>
      <c r="D54" s="60"/>
      <c r="E54" s="60"/>
      <c r="F54" s="60"/>
      <c r="G54" s="61"/>
      <c r="H54" s="50"/>
      <c r="I54" s="62" t="s">
        <v>230</v>
      </c>
      <c r="J54" s="60"/>
      <c r="K54" s="63"/>
      <c r="L54" s="61"/>
      <c r="M54" s="58"/>
      <c r="N54" s="2" t="s">
        <v>121</v>
      </c>
      <c r="O54" s="5" t="s">
        <v>193</v>
      </c>
      <c r="P54" s="51"/>
      <c r="R54" s="55"/>
      <c r="S54" s="22"/>
      <c r="T54" s="2">
        <v>54</v>
      </c>
      <c r="U54" s="23"/>
      <c r="V54" s="24"/>
      <c r="W54" s="23"/>
    </row>
    <row r="55" spans="3:23" ht="21" customHeight="1" thickBot="1">
      <c r="C55" s="64"/>
      <c r="D55" s="65"/>
      <c r="E55" s="65"/>
      <c r="F55" s="66"/>
      <c r="G55" s="67"/>
      <c r="H55" s="68"/>
      <c r="I55" s="69" t="s">
        <v>108</v>
      </c>
      <c r="J55" s="69"/>
      <c r="K55" s="69"/>
      <c r="L55" s="70"/>
      <c r="M55" s="71"/>
      <c r="N55" s="69" t="s">
        <v>122</v>
      </c>
      <c r="O55" s="69"/>
      <c r="P55" s="70"/>
      <c r="Q55" s="2" t="s">
        <v>231</v>
      </c>
      <c r="R55" s="72">
        <v>10557.01</v>
      </c>
      <c r="S55" s="73">
        <v>0</v>
      </c>
      <c r="T55" s="2">
        <v>55</v>
      </c>
      <c r="U55" s="23"/>
      <c r="V55" s="24"/>
      <c r="W55" s="23"/>
    </row>
    <row r="56" spans="3:23" ht="11.25" customHeight="1">
      <c r="C56" s="74" t="s">
        <v>232</v>
      </c>
      <c r="D56" s="75"/>
      <c r="E56" s="75" t="s">
        <v>193</v>
      </c>
      <c r="F56" s="76"/>
      <c r="G56" s="77"/>
      <c r="H56" s="78"/>
      <c r="I56" s="10"/>
      <c r="J56" s="10"/>
      <c r="K56" s="32"/>
      <c r="L56" s="47"/>
      <c r="M56" s="32"/>
      <c r="N56" s="32"/>
      <c r="O56" s="32"/>
      <c r="P56" s="79"/>
      <c r="Q56" s="2" t="s">
        <v>233</v>
      </c>
      <c r="R56" s="73">
        <v>1600.91</v>
      </c>
      <c r="S56" s="73">
        <v>0</v>
      </c>
      <c r="T56" s="2">
        <v>56</v>
      </c>
      <c r="U56" s="24"/>
      <c r="V56" s="24"/>
      <c r="W56" s="23"/>
    </row>
    <row r="57" spans="3:23" ht="12.75" customHeight="1" thickBot="1">
      <c r="C57" s="74" t="s">
        <v>234</v>
      </c>
      <c r="D57" s="75"/>
      <c r="E57" s="75" t="s">
        <v>193</v>
      </c>
      <c r="F57" s="76"/>
      <c r="G57" s="77"/>
      <c r="H57" s="78"/>
      <c r="I57" s="80" t="s">
        <v>235</v>
      </c>
      <c r="J57" s="52"/>
      <c r="K57" s="32"/>
      <c r="L57" s="81"/>
      <c r="M57" s="32"/>
      <c r="N57" s="82" t="s">
        <v>123</v>
      </c>
      <c r="O57" s="82"/>
      <c r="P57" s="83"/>
      <c r="Q57" s="2" t="s">
        <v>236</v>
      </c>
      <c r="R57" s="72">
        <v>8956.1</v>
      </c>
      <c r="S57" s="73">
        <v>0</v>
      </c>
      <c r="T57" s="2">
        <v>57</v>
      </c>
      <c r="U57" s="23"/>
      <c r="V57" s="24"/>
      <c r="W57" s="23"/>
    </row>
    <row r="58" spans="3:23" ht="11.25" customHeight="1" thickTop="1">
      <c r="C58" s="84"/>
      <c r="D58" s="85"/>
      <c r="E58" s="85"/>
      <c r="F58" s="85"/>
      <c r="G58" s="86"/>
      <c r="H58" s="85"/>
      <c r="I58" s="85"/>
      <c r="J58" s="85"/>
      <c r="K58" s="85"/>
      <c r="L58" s="86"/>
      <c r="M58" s="85"/>
      <c r="N58" s="85"/>
      <c r="O58" s="85"/>
      <c r="P58" s="87"/>
      <c r="R58" s="22"/>
      <c r="S58" s="22"/>
      <c r="T58" s="2">
        <v>58</v>
      </c>
    </row>
    <row r="59" spans="3:23" ht="11.25" customHeight="1">
      <c r="D59" s="2"/>
      <c r="G59" s="2"/>
      <c r="H59" s="2"/>
      <c r="N59" s="2"/>
      <c r="O59" s="2"/>
      <c r="P59" s="94"/>
      <c r="T59" s="2">
        <v>59</v>
      </c>
    </row>
    <row r="60" spans="3:23" ht="11.25" customHeight="1">
      <c r="D60" s="2"/>
      <c r="G60" s="2"/>
      <c r="H60" s="2"/>
      <c r="N60" s="2"/>
      <c r="O60" s="2"/>
      <c r="P60" s="2"/>
      <c r="T60" s="2">
        <v>60</v>
      </c>
    </row>
    <row r="61" spans="3:23" ht="11.25" customHeight="1">
      <c r="D61" s="2"/>
      <c r="G61" s="2"/>
      <c r="H61" s="2"/>
      <c r="N61" s="2"/>
      <c r="O61" s="2"/>
      <c r="P61" s="2"/>
      <c r="T61" s="2">
        <v>61</v>
      </c>
    </row>
    <row r="62" spans="3:23" ht="11.25" customHeight="1">
      <c r="D62" s="2"/>
      <c r="G62" s="2"/>
      <c r="H62" s="2"/>
      <c r="N62" s="2"/>
      <c r="O62" s="2"/>
      <c r="P62" s="2"/>
      <c r="T62" s="2">
        <v>62</v>
      </c>
    </row>
    <row r="63" spans="3:23" ht="11.25" customHeight="1">
      <c r="D63" s="2"/>
      <c r="G63" s="2"/>
      <c r="H63" s="2"/>
      <c r="N63" s="2"/>
      <c r="O63" s="2"/>
      <c r="P63" s="2"/>
      <c r="T63" s="2">
        <v>63</v>
      </c>
    </row>
    <row r="64" spans="3:23" ht="11.25" customHeight="1">
      <c r="D64" s="2"/>
      <c r="G64" s="2"/>
      <c r="H64" s="2"/>
      <c r="N64" s="2"/>
      <c r="O64" s="2"/>
      <c r="P64" s="2"/>
      <c r="T64" s="2">
        <v>64</v>
      </c>
    </row>
    <row r="65" spans="1:23" ht="11.25" customHeight="1">
      <c r="D65" s="2"/>
      <c r="G65" s="2"/>
      <c r="H65" s="2"/>
      <c r="N65" s="2"/>
      <c r="O65" s="2"/>
      <c r="P65" s="2"/>
      <c r="T65" s="2">
        <v>65</v>
      </c>
    </row>
    <row r="66" spans="1:23" ht="11.25" customHeight="1">
      <c r="A66" s="1">
        <v>3</v>
      </c>
      <c r="C66" s="8"/>
      <c r="D66" s="9" t="s">
        <v>0</v>
      </c>
      <c r="G66" s="2"/>
      <c r="H66" s="2"/>
      <c r="I66" s="10"/>
      <c r="J66" s="11"/>
      <c r="N66" s="2"/>
      <c r="O66" s="2"/>
      <c r="P66" s="2"/>
      <c r="T66" s="2">
        <v>66</v>
      </c>
    </row>
    <row r="67" spans="1:23" ht="22.5" customHeight="1">
      <c r="C67" s="12">
        <v>588</v>
      </c>
      <c r="D67" s="13" t="s">
        <v>173</v>
      </c>
      <c r="E67" s="14"/>
      <c r="F67" s="15"/>
      <c r="G67" s="15"/>
      <c r="H67" s="15"/>
      <c r="I67" s="15"/>
      <c r="J67" s="16"/>
      <c r="K67" s="17"/>
      <c r="L67" s="95"/>
      <c r="M67" s="19" t="s">
        <v>181</v>
      </c>
      <c r="N67" s="20"/>
      <c r="O67" s="20"/>
      <c r="P67" s="21" t="s">
        <v>2</v>
      </c>
      <c r="R67" s="22"/>
      <c r="S67" s="22"/>
      <c r="T67" s="2">
        <v>67</v>
      </c>
      <c r="U67" s="23"/>
      <c r="V67" s="24"/>
      <c r="W67" s="23"/>
    </row>
    <row r="68" spans="1:23" ht="11.65" customHeight="1">
      <c r="C68" s="88" t="s">
        <v>184</v>
      </c>
      <c r="D68" s="26" t="s">
        <v>174</v>
      </c>
      <c r="E68" s="89"/>
      <c r="F68" s="27"/>
      <c r="G68" s="27"/>
      <c r="H68" s="27"/>
      <c r="I68" s="27"/>
      <c r="J68" s="10"/>
      <c r="K68" s="5"/>
      <c r="L68" s="8" t="s">
        <v>185</v>
      </c>
      <c r="M68" s="28"/>
      <c r="N68" s="9"/>
      <c r="O68" s="9"/>
      <c r="P68" s="29" t="s">
        <v>239</v>
      </c>
      <c r="R68" s="22"/>
      <c r="S68" s="22"/>
      <c r="T68" s="2">
        <v>68</v>
      </c>
      <c r="U68" s="23"/>
      <c r="V68" s="24"/>
      <c r="W68" s="23"/>
    </row>
    <row r="69" spans="1:23" ht="11.25" customHeight="1">
      <c r="C69" s="92"/>
      <c r="D69" s="23"/>
      <c r="E69" s="93"/>
      <c r="F69" s="31"/>
      <c r="G69" s="31"/>
      <c r="H69" s="31"/>
      <c r="I69" s="31"/>
      <c r="J69" s="10"/>
      <c r="K69" s="5"/>
      <c r="M69" s="32"/>
      <c r="N69" s="2"/>
      <c r="O69" s="2"/>
      <c r="P69" s="32"/>
      <c r="R69" s="22"/>
      <c r="S69" s="22"/>
      <c r="T69" s="2">
        <v>69</v>
      </c>
      <c r="U69" s="23"/>
      <c r="V69" s="24"/>
      <c r="W69" s="23"/>
    </row>
    <row r="70" spans="1:23" ht="10.5" customHeight="1">
      <c r="C70" s="33"/>
      <c r="D70" s="34"/>
      <c r="E70" s="34"/>
      <c r="F70" s="35"/>
      <c r="G70" s="36"/>
      <c r="H70" s="35"/>
      <c r="I70" s="35"/>
      <c r="J70" s="37"/>
      <c r="K70" s="38"/>
      <c r="L70" s="39"/>
      <c r="M70" s="38"/>
      <c r="N70" s="40"/>
      <c r="O70" s="38"/>
      <c r="P70" s="39"/>
      <c r="R70" s="22"/>
      <c r="S70" s="22"/>
      <c r="T70" s="2">
        <v>70</v>
      </c>
      <c r="U70" s="23"/>
      <c r="V70" s="24"/>
      <c r="W70" s="23"/>
    </row>
    <row r="71" spans="1:23" ht="11.25" customHeight="1">
      <c r="C71" s="41" t="s">
        <v>187</v>
      </c>
      <c r="D71" s="42"/>
      <c r="E71" s="42"/>
      <c r="F71" s="43" t="s">
        <v>188</v>
      </c>
      <c r="G71" s="44" t="s">
        <v>189</v>
      </c>
      <c r="H71" s="43"/>
      <c r="I71" s="45" t="s">
        <v>190</v>
      </c>
      <c r="J71" s="45"/>
      <c r="K71" s="45"/>
      <c r="L71" s="46"/>
      <c r="M71" s="45"/>
      <c r="N71" s="45" t="s">
        <v>191</v>
      </c>
      <c r="O71" s="32"/>
      <c r="P71" s="47"/>
      <c r="R71" s="22"/>
      <c r="S71" s="48"/>
      <c r="T71" s="2">
        <v>71</v>
      </c>
      <c r="U71" s="23"/>
      <c r="V71" s="24"/>
      <c r="W71" s="23"/>
    </row>
    <row r="72" spans="1:23" ht="11.25" customHeight="1">
      <c r="C72" s="49" t="s">
        <v>192</v>
      </c>
      <c r="D72" s="23"/>
      <c r="E72" s="24" t="s">
        <v>193</v>
      </c>
      <c r="F72" s="50"/>
      <c r="G72" s="51"/>
      <c r="H72" s="52"/>
      <c r="I72" s="32" t="s">
        <v>194</v>
      </c>
      <c r="J72" s="32"/>
      <c r="K72" s="32"/>
      <c r="L72" s="51">
        <v>0</v>
      </c>
      <c r="M72" s="52"/>
      <c r="N72" s="2" t="s">
        <v>195</v>
      </c>
      <c r="O72" s="2" t="s">
        <v>193</v>
      </c>
      <c r="P72" s="51"/>
      <c r="R72" s="22"/>
      <c r="S72" s="22"/>
      <c r="T72" s="2">
        <v>72</v>
      </c>
      <c r="U72" s="23"/>
      <c r="V72" s="24"/>
      <c r="W72" s="23"/>
    </row>
    <row r="73" spans="1:23" ht="11.25" customHeight="1">
      <c r="C73" s="53" t="s">
        <v>196</v>
      </c>
      <c r="D73" s="2"/>
      <c r="E73" s="24" t="s">
        <v>193</v>
      </c>
      <c r="F73" s="50"/>
      <c r="G73" s="51"/>
      <c r="H73" s="50"/>
      <c r="I73" s="32" t="s">
        <v>197</v>
      </c>
      <c r="J73" s="32"/>
      <c r="K73" s="5" t="s">
        <v>193</v>
      </c>
      <c r="L73" s="51"/>
      <c r="M73" s="50"/>
      <c r="N73" s="32" t="s">
        <v>198</v>
      </c>
      <c r="O73" s="5" t="s">
        <v>193</v>
      </c>
      <c r="P73" s="51"/>
      <c r="R73" s="22"/>
      <c r="S73" s="22"/>
      <c r="T73" s="2">
        <v>73</v>
      </c>
      <c r="U73" s="23"/>
      <c r="V73" s="24"/>
      <c r="W73" s="23"/>
    </row>
    <row r="74" spans="1:23" ht="11.25" customHeight="1">
      <c r="C74" s="49" t="s">
        <v>199</v>
      </c>
      <c r="D74" s="23"/>
      <c r="E74" s="24" t="s">
        <v>193</v>
      </c>
      <c r="F74" s="50"/>
      <c r="G74" s="51"/>
      <c r="H74" s="50"/>
      <c r="I74" s="32" t="s">
        <v>99</v>
      </c>
      <c r="J74" s="32"/>
      <c r="K74" s="5" t="s">
        <v>193</v>
      </c>
      <c r="L74" s="51"/>
      <c r="M74" s="50"/>
      <c r="N74" s="32" t="s">
        <v>200</v>
      </c>
      <c r="O74" s="5" t="s">
        <v>193</v>
      </c>
      <c r="P74" s="51"/>
      <c r="R74" s="48"/>
      <c r="S74" s="22"/>
      <c r="T74" s="2">
        <v>74</v>
      </c>
      <c r="U74" s="23"/>
      <c r="V74" s="24"/>
      <c r="W74" s="23"/>
    </row>
    <row r="75" spans="1:23" ht="11.25" customHeight="1">
      <c r="C75" s="49" t="s">
        <v>201</v>
      </c>
      <c r="D75" s="23"/>
      <c r="E75" s="24" t="s">
        <v>193</v>
      </c>
      <c r="F75" s="50"/>
      <c r="G75" s="51"/>
      <c r="H75" s="50"/>
      <c r="I75" s="2" t="s">
        <v>100</v>
      </c>
      <c r="J75" s="32"/>
      <c r="K75" s="5" t="s">
        <v>193</v>
      </c>
      <c r="L75" s="51"/>
      <c r="M75" s="50"/>
      <c r="N75" s="32" t="s">
        <v>202</v>
      </c>
      <c r="O75" s="5" t="s">
        <v>193</v>
      </c>
      <c r="P75" s="51"/>
      <c r="R75" s="48"/>
      <c r="S75" s="22"/>
      <c r="T75" s="2">
        <v>75</v>
      </c>
      <c r="U75" s="23"/>
      <c r="V75" s="24"/>
      <c r="W75" s="23"/>
    </row>
    <row r="76" spans="1:23" ht="11.25" customHeight="1">
      <c r="C76" s="49" t="s">
        <v>203</v>
      </c>
      <c r="D76" s="23"/>
      <c r="E76" s="24" t="s">
        <v>193</v>
      </c>
      <c r="F76" s="50"/>
      <c r="G76" s="51"/>
      <c r="H76" s="50"/>
      <c r="I76" s="5" t="s">
        <v>204</v>
      </c>
      <c r="K76" s="2" t="s">
        <v>193</v>
      </c>
      <c r="L76" s="51"/>
      <c r="M76" s="50"/>
      <c r="N76" s="54" t="s">
        <v>205</v>
      </c>
      <c r="O76" s="5" t="s">
        <v>193</v>
      </c>
      <c r="P76" s="51"/>
      <c r="R76" s="48"/>
      <c r="S76" s="22"/>
      <c r="T76" s="2">
        <v>76</v>
      </c>
      <c r="U76" s="23"/>
      <c r="V76" s="24"/>
      <c r="W76" s="23"/>
    </row>
    <row r="77" spans="1:23" ht="11.25" customHeight="1">
      <c r="C77" s="49" t="s">
        <v>206</v>
      </c>
      <c r="D77" s="23"/>
      <c r="E77" s="24" t="s">
        <v>193</v>
      </c>
      <c r="F77" s="50"/>
      <c r="G77" s="51"/>
      <c r="H77" s="50"/>
      <c r="I77" s="32" t="s">
        <v>207</v>
      </c>
      <c r="J77" s="5"/>
      <c r="K77" s="2" t="s">
        <v>193</v>
      </c>
      <c r="L77" s="51"/>
      <c r="M77" s="50"/>
      <c r="N77" s="5" t="s">
        <v>208</v>
      </c>
      <c r="O77" s="5" t="s">
        <v>193</v>
      </c>
      <c r="P77" s="51"/>
      <c r="R77" s="48"/>
      <c r="S77" s="22"/>
      <c r="T77" s="2">
        <v>77</v>
      </c>
      <c r="U77" s="23"/>
      <c r="V77" s="24"/>
      <c r="W77" s="23"/>
    </row>
    <row r="78" spans="1:23" ht="11.25" customHeight="1">
      <c r="C78" s="49" t="s">
        <v>209</v>
      </c>
      <c r="D78" s="23"/>
      <c r="E78" s="24" t="s">
        <v>193</v>
      </c>
      <c r="F78" s="50"/>
      <c r="G78" s="51"/>
      <c r="H78" s="50"/>
      <c r="I78" s="5" t="s">
        <v>210</v>
      </c>
      <c r="K78" s="2" t="s">
        <v>193</v>
      </c>
      <c r="L78" s="51"/>
      <c r="M78" s="50"/>
      <c r="N78" s="32" t="s">
        <v>211</v>
      </c>
      <c r="O78" s="5" t="s">
        <v>193</v>
      </c>
      <c r="P78" s="51"/>
      <c r="R78" s="48"/>
      <c r="S78" s="22"/>
      <c r="T78" s="2">
        <v>78</v>
      </c>
      <c r="U78" s="23"/>
      <c r="V78" s="24"/>
      <c r="W78" s="23"/>
    </row>
    <row r="79" spans="1:23" ht="11.25" customHeight="1">
      <c r="C79" s="49" t="s">
        <v>213</v>
      </c>
      <c r="D79" s="23"/>
      <c r="E79" s="24" t="s">
        <v>193</v>
      </c>
      <c r="F79" s="50"/>
      <c r="G79" s="51"/>
      <c r="H79" s="50"/>
      <c r="I79" s="5" t="s">
        <v>214</v>
      </c>
      <c r="J79" s="5"/>
      <c r="K79" s="2" t="s">
        <v>193</v>
      </c>
      <c r="L79" s="51"/>
      <c r="M79" s="50"/>
      <c r="N79" s="32" t="s">
        <v>215</v>
      </c>
      <c r="O79" s="5" t="s">
        <v>193</v>
      </c>
      <c r="P79" s="51"/>
      <c r="R79" s="55"/>
      <c r="S79" s="55"/>
      <c r="T79" s="2">
        <v>79</v>
      </c>
      <c r="U79" s="23"/>
      <c r="V79" s="24"/>
      <c r="W79" s="56"/>
    </row>
    <row r="80" spans="1:23" ht="11.25" customHeight="1">
      <c r="C80" s="53" t="s">
        <v>216</v>
      </c>
      <c r="D80" s="23"/>
      <c r="E80" s="24" t="s">
        <v>193</v>
      </c>
      <c r="F80" s="50"/>
      <c r="G80" s="51"/>
      <c r="H80" s="50"/>
      <c r="K80" s="2" t="s">
        <v>193</v>
      </c>
      <c r="L80" s="57"/>
      <c r="M80" s="50"/>
      <c r="N80" s="32" t="s">
        <v>116</v>
      </c>
      <c r="O80" s="5" t="s">
        <v>193</v>
      </c>
      <c r="P80" s="51"/>
      <c r="R80" s="55"/>
      <c r="S80" s="55"/>
      <c r="T80" s="2">
        <v>80</v>
      </c>
      <c r="U80" s="23"/>
      <c r="V80" s="24"/>
      <c r="W80" s="30"/>
    </row>
    <row r="81" spans="3:23" ht="11.25" customHeight="1">
      <c r="C81" s="49" t="s">
        <v>217</v>
      </c>
      <c r="D81" s="23"/>
      <c r="E81" s="24" t="s">
        <v>193</v>
      </c>
      <c r="F81" s="50"/>
      <c r="G81" s="51"/>
      <c r="H81" s="50"/>
      <c r="I81" s="5"/>
      <c r="J81" s="32"/>
      <c r="K81" s="2" t="s">
        <v>193</v>
      </c>
      <c r="L81" s="51"/>
      <c r="M81" s="50"/>
      <c r="N81" s="2" t="s">
        <v>117</v>
      </c>
      <c r="O81" s="5" t="s">
        <v>193</v>
      </c>
      <c r="P81" s="51"/>
      <c r="R81" s="22"/>
      <c r="S81" s="55"/>
      <c r="T81" s="2">
        <v>81</v>
      </c>
      <c r="U81" s="23"/>
      <c r="V81" s="24"/>
      <c r="W81" s="23"/>
    </row>
    <row r="82" spans="3:23" ht="11.25" customHeight="1">
      <c r="C82" s="49" t="s">
        <v>218</v>
      </c>
      <c r="D82" s="23"/>
      <c r="E82" s="24" t="s">
        <v>193</v>
      </c>
      <c r="F82" s="50"/>
      <c r="G82" s="51"/>
      <c r="H82" s="50"/>
      <c r="I82" s="5" t="s">
        <v>219</v>
      </c>
      <c r="J82" s="5"/>
      <c r="K82" s="2" t="s">
        <v>193</v>
      </c>
      <c r="L82" s="51"/>
      <c r="M82" s="50"/>
      <c r="N82" s="32" t="s">
        <v>220</v>
      </c>
      <c r="O82" s="5" t="s">
        <v>193</v>
      </c>
      <c r="P82" s="51"/>
      <c r="R82" s="22"/>
      <c r="S82" s="22"/>
      <c r="T82" s="2">
        <v>82</v>
      </c>
      <c r="U82" s="23"/>
      <c r="V82" s="24"/>
      <c r="W82" s="23"/>
    </row>
    <row r="83" spans="3:23" ht="11.25" customHeight="1">
      <c r="C83" s="49" t="s">
        <v>221</v>
      </c>
      <c r="D83" s="23"/>
      <c r="E83" s="24" t="s">
        <v>193</v>
      </c>
      <c r="F83" s="50"/>
      <c r="G83" s="51"/>
      <c r="H83" s="50"/>
      <c r="I83" s="5" t="s">
        <v>221</v>
      </c>
      <c r="J83" s="32"/>
      <c r="K83" s="2" t="s">
        <v>193</v>
      </c>
      <c r="L83" s="51"/>
      <c r="M83" s="50"/>
      <c r="N83" s="2" t="s">
        <v>222</v>
      </c>
      <c r="O83" s="5" t="s">
        <v>193</v>
      </c>
      <c r="P83" s="51"/>
      <c r="R83" s="55"/>
      <c r="S83" s="22"/>
      <c r="T83" s="2">
        <v>83</v>
      </c>
      <c r="U83" s="23"/>
      <c r="V83" s="24"/>
      <c r="W83" s="23"/>
    </row>
    <row r="84" spans="3:23" ht="11.25" customHeight="1">
      <c r="C84" s="49" t="s">
        <v>223</v>
      </c>
      <c r="D84" s="23"/>
      <c r="E84" s="24" t="s">
        <v>193</v>
      </c>
      <c r="F84" s="50"/>
      <c r="G84" s="51"/>
      <c r="H84" s="50"/>
      <c r="I84" s="32" t="s">
        <v>224</v>
      </c>
      <c r="J84" s="32"/>
      <c r="K84" s="5" t="s">
        <v>193</v>
      </c>
      <c r="L84" s="51"/>
      <c r="M84" s="58"/>
      <c r="N84" s="2" t="s">
        <v>225</v>
      </c>
      <c r="O84" s="5" t="s">
        <v>193</v>
      </c>
      <c r="P84" s="51"/>
      <c r="R84" s="55"/>
      <c r="S84" s="22"/>
      <c r="T84" s="2">
        <v>84</v>
      </c>
      <c r="U84" s="23"/>
      <c r="V84" s="24"/>
      <c r="W84" s="23"/>
    </row>
    <row r="85" spans="3:23" ht="11.25" customHeight="1">
      <c r="C85" s="49" t="s">
        <v>226</v>
      </c>
      <c r="D85" s="23"/>
      <c r="E85" s="24" t="s">
        <v>193</v>
      </c>
      <c r="F85" s="50"/>
      <c r="G85" s="51"/>
      <c r="H85" s="50"/>
      <c r="I85" s="2" t="s">
        <v>227</v>
      </c>
      <c r="K85" s="5" t="s">
        <v>193</v>
      </c>
      <c r="L85" s="51"/>
      <c r="M85" s="58"/>
      <c r="N85" s="32" t="s">
        <v>228</v>
      </c>
      <c r="O85" s="5" t="s">
        <v>193</v>
      </c>
      <c r="P85" s="51"/>
      <c r="R85" s="55"/>
      <c r="S85" s="22"/>
      <c r="T85" s="2">
        <v>85</v>
      </c>
      <c r="U85" s="23"/>
      <c r="V85" s="24"/>
      <c r="W85" s="23"/>
    </row>
    <row r="86" spans="3:23" ht="11.65" customHeight="1">
      <c r="C86" s="59" t="s">
        <v>229</v>
      </c>
      <c r="D86" s="60"/>
      <c r="E86" s="60"/>
      <c r="F86" s="60"/>
      <c r="G86" s="61"/>
      <c r="H86" s="50"/>
      <c r="I86" s="62" t="s">
        <v>230</v>
      </c>
      <c r="J86" s="60"/>
      <c r="K86" s="63"/>
      <c r="L86" s="61"/>
      <c r="M86" s="58"/>
      <c r="N86" s="2" t="s">
        <v>121</v>
      </c>
      <c r="O86" s="5" t="s">
        <v>193</v>
      </c>
      <c r="P86" s="51"/>
      <c r="R86" s="55"/>
      <c r="S86" s="22"/>
      <c r="T86" s="2">
        <v>86</v>
      </c>
      <c r="U86" s="23"/>
      <c r="V86" s="24"/>
      <c r="W86" s="23"/>
    </row>
    <row r="87" spans="3:23" ht="21" customHeight="1" thickBot="1">
      <c r="C87" s="64"/>
      <c r="D87" s="65"/>
      <c r="E87" s="65"/>
      <c r="F87" s="66"/>
      <c r="G87" s="67"/>
      <c r="H87" s="68"/>
      <c r="I87" s="69" t="s">
        <v>108</v>
      </c>
      <c r="J87" s="69"/>
      <c r="K87" s="69"/>
      <c r="L87" s="70"/>
      <c r="M87" s="71"/>
      <c r="N87" s="69" t="s">
        <v>122</v>
      </c>
      <c r="O87" s="69"/>
      <c r="P87" s="70"/>
      <c r="Q87" s="2" t="s">
        <v>231</v>
      </c>
      <c r="R87" s="72">
        <v>8586.130000000001</v>
      </c>
      <c r="S87" s="73">
        <v>0</v>
      </c>
      <c r="T87" s="2">
        <v>87</v>
      </c>
      <c r="U87" s="23"/>
      <c r="V87" s="24"/>
      <c r="W87" s="23"/>
    </row>
    <row r="88" spans="3:23" ht="11.25" customHeight="1">
      <c r="C88" s="74" t="s">
        <v>232</v>
      </c>
      <c r="D88" s="75"/>
      <c r="E88" s="75" t="s">
        <v>193</v>
      </c>
      <c r="F88" s="76"/>
      <c r="G88" s="77"/>
      <c r="H88" s="78"/>
      <c r="I88" s="10"/>
      <c r="J88" s="10"/>
      <c r="K88" s="32"/>
      <c r="L88" s="47"/>
      <c r="M88" s="32"/>
      <c r="N88" s="32"/>
      <c r="O88" s="32"/>
      <c r="P88" s="79"/>
      <c r="Q88" s="2" t="s">
        <v>233</v>
      </c>
      <c r="R88" s="73">
        <v>1405.71</v>
      </c>
      <c r="S88" s="73">
        <v>0</v>
      </c>
      <c r="T88" s="2">
        <v>88</v>
      </c>
      <c r="U88" s="24"/>
      <c r="V88" s="24"/>
      <c r="W88" s="23"/>
    </row>
    <row r="89" spans="3:23" ht="12.75" customHeight="1" thickBot="1">
      <c r="C89" s="74" t="s">
        <v>234</v>
      </c>
      <c r="D89" s="75"/>
      <c r="E89" s="75" t="s">
        <v>193</v>
      </c>
      <c r="F89" s="76"/>
      <c r="G89" s="77"/>
      <c r="H89" s="78"/>
      <c r="I89" s="80" t="s">
        <v>235</v>
      </c>
      <c r="J89" s="52"/>
      <c r="K89" s="32"/>
      <c r="L89" s="81"/>
      <c r="M89" s="32"/>
      <c r="N89" s="82" t="s">
        <v>123</v>
      </c>
      <c r="O89" s="82"/>
      <c r="P89" s="83"/>
      <c r="Q89" s="2" t="s">
        <v>236</v>
      </c>
      <c r="R89" s="72">
        <v>7180.4199999999992</v>
      </c>
      <c r="S89" s="73">
        <v>0</v>
      </c>
      <c r="T89" s="2">
        <v>89</v>
      </c>
      <c r="U89" s="23"/>
      <c r="V89" s="24"/>
      <c r="W89" s="23"/>
    </row>
    <row r="90" spans="3:23" ht="11.25" customHeight="1" thickTop="1">
      <c r="C90" s="84"/>
      <c r="D90" s="85"/>
      <c r="E90" s="85"/>
      <c r="F90" s="85"/>
      <c r="G90" s="86"/>
      <c r="H90" s="85"/>
      <c r="I90" s="85"/>
      <c r="J90" s="85"/>
      <c r="K90" s="85"/>
      <c r="L90" s="86"/>
      <c r="M90" s="85"/>
      <c r="N90" s="85"/>
      <c r="O90" s="85"/>
      <c r="P90" s="87"/>
      <c r="R90" s="22"/>
      <c r="S90" s="22"/>
      <c r="T90" s="2">
        <v>90</v>
      </c>
      <c r="U90" s="23"/>
      <c r="V90" s="24"/>
      <c r="W90" s="23"/>
    </row>
    <row r="91" spans="3:23" ht="11.25" hidden="1" customHeight="1">
      <c r="C91" s="96"/>
      <c r="D91" s="2"/>
      <c r="G91" s="2"/>
      <c r="H91" s="2"/>
      <c r="N91" s="2"/>
      <c r="O91" s="2"/>
      <c r="P91" s="97"/>
      <c r="R91" s="22"/>
      <c r="S91" s="22"/>
      <c r="T91" s="2">
        <v>91</v>
      </c>
      <c r="U91" s="23"/>
      <c r="V91" s="24"/>
      <c r="W91" s="23"/>
    </row>
    <row r="92" spans="3:23" ht="11.25" hidden="1" customHeight="1">
      <c r="C92" s="96"/>
      <c r="D92" s="2"/>
      <c r="G92" s="2"/>
      <c r="H92" s="2"/>
      <c r="N92" s="2"/>
      <c r="O92" s="2"/>
      <c r="P92" s="97"/>
      <c r="R92" s="22"/>
      <c r="S92" s="22"/>
      <c r="T92" s="2">
        <v>92</v>
      </c>
      <c r="U92" s="23"/>
      <c r="V92" s="24"/>
      <c r="W92" s="23"/>
    </row>
    <row r="93" spans="3:23" ht="11.25" customHeight="1">
      <c r="I93" s="5"/>
      <c r="N93" s="2"/>
      <c r="O93" s="2"/>
      <c r="P93" s="6"/>
      <c r="T93" s="2">
        <v>1</v>
      </c>
    </row>
    <row r="94" spans="3:23" ht="11.25" hidden="1" customHeight="1">
      <c r="C94" s="96"/>
      <c r="D94" s="2"/>
      <c r="G94" s="2"/>
      <c r="H94" s="2"/>
      <c r="N94" s="2"/>
      <c r="O94" s="2"/>
      <c r="P94" s="97"/>
      <c r="R94" s="22"/>
      <c r="S94" s="22"/>
      <c r="T94" s="2">
        <v>91</v>
      </c>
      <c r="U94" s="23"/>
      <c r="V94" s="24"/>
      <c r="W94" s="23"/>
    </row>
    <row r="95" spans="3:23" ht="11.25" hidden="1" customHeight="1">
      <c r="C95" s="96"/>
      <c r="D95" s="2"/>
      <c r="G95" s="2"/>
      <c r="H95" s="2"/>
      <c r="N95" s="2"/>
      <c r="O95" s="2"/>
      <c r="P95" s="97"/>
      <c r="R95" s="22"/>
      <c r="S95" s="22"/>
      <c r="T95" s="2">
        <v>92</v>
      </c>
      <c r="U95" s="23"/>
      <c r="V95" s="24"/>
      <c r="W95" s="23"/>
    </row>
    <row r="96" spans="3:23" ht="11.25" hidden="1" customHeight="1">
      <c r="C96" s="96"/>
      <c r="D96" s="2"/>
      <c r="G96" s="2"/>
      <c r="H96" s="2"/>
      <c r="N96" s="2"/>
      <c r="O96" s="2"/>
      <c r="P96" s="97"/>
      <c r="R96" s="22"/>
      <c r="S96" s="22"/>
      <c r="T96" s="2">
        <v>91</v>
      </c>
      <c r="U96" s="23"/>
      <c r="V96" s="24"/>
      <c r="W96" s="23"/>
    </row>
    <row r="97" spans="3:23" ht="11.25" hidden="1" customHeight="1">
      <c r="C97" s="96"/>
      <c r="D97" s="2"/>
      <c r="G97" s="2"/>
      <c r="H97" s="2"/>
      <c r="N97" s="2"/>
      <c r="O97" s="2"/>
      <c r="P97" s="97"/>
      <c r="R97" s="22"/>
      <c r="S97" s="22"/>
      <c r="T97" s="2">
        <v>92</v>
      </c>
      <c r="U97" s="23"/>
      <c r="V97" s="24"/>
      <c r="W97" s="23"/>
    </row>
    <row r="98" spans="3:23" ht="11.25" hidden="1" customHeight="1">
      <c r="C98" s="96"/>
      <c r="D98" s="2"/>
      <c r="G98" s="2"/>
      <c r="H98" s="2"/>
      <c r="N98" s="2"/>
      <c r="O98" s="2"/>
      <c r="P98" s="97"/>
      <c r="R98" s="22"/>
      <c r="S98" s="22"/>
      <c r="T98" s="2">
        <v>91</v>
      </c>
      <c r="U98" s="23"/>
      <c r="V98" s="24"/>
      <c r="W98" s="23"/>
    </row>
    <row r="99" spans="3:23" ht="11.25" hidden="1" customHeight="1">
      <c r="C99" s="96"/>
      <c r="D99" s="2"/>
      <c r="G99" s="2"/>
      <c r="H99" s="2"/>
      <c r="N99" s="2"/>
      <c r="O99" s="2"/>
      <c r="P99" s="97"/>
      <c r="R99" s="22"/>
      <c r="S99" s="22"/>
      <c r="T99" s="2">
        <v>92</v>
      </c>
      <c r="U99" s="23"/>
      <c r="V99" s="24"/>
      <c r="W99" s="23"/>
    </row>
    <row r="100" spans="3:23" ht="11.25" hidden="1" customHeight="1">
      <c r="C100" s="96"/>
      <c r="D100" s="2"/>
      <c r="G100" s="2"/>
      <c r="H100" s="2"/>
      <c r="N100" s="2"/>
      <c r="O100" s="2"/>
      <c r="P100" s="97"/>
      <c r="R100" s="22"/>
      <c r="S100" s="22"/>
      <c r="T100" s="2">
        <v>91</v>
      </c>
      <c r="U100" s="23"/>
      <c r="V100" s="24"/>
      <c r="W100" s="23"/>
    </row>
    <row r="101" spans="3:23" ht="11.25" hidden="1" customHeight="1">
      <c r="C101" s="96"/>
      <c r="D101" s="2"/>
      <c r="G101" s="2"/>
      <c r="H101" s="2"/>
      <c r="N101" s="2"/>
      <c r="O101" s="2"/>
      <c r="P101" s="97"/>
      <c r="R101" s="22"/>
      <c r="S101" s="22"/>
      <c r="T101" s="2">
        <v>92</v>
      </c>
      <c r="U101" s="23"/>
      <c r="V101" s="24"/>
      <c r="W101" s="23"/>
    </row>
    <row r="102" spans="3:23" ht="11.25" hidden="1" customHeight="1">
      <c r="C102" s="96"/>
      <c r="D102" s="2"/>
      <c r="G102" s="2"/>
      <c r="H102" s="2"/>
      <c r="N102" s="2"/>
      <c r="O102" s="2"/>
      <c r="P102" s="97"/>
      <c r="R102" s="22"/>
      <c r="S102" s="22"/>
      <c r="T102" s="2">
        <v>91</v>
      </c>
      <c r="U102" s="23"/>
      <c r="V102" s="24"/>
      <c r="W102" s="23"/>
    </row>
    <row r="103" spans="3:23" ht="11.25" hidden="1" customHeight="1">
      <c r="C103" s="96"/>
      <c r="D103" s="2"/>
      <c r="G103" s="2"/>
      <c r="H103" s="2"/>
      <c r="N103" s="2"/>
      <c r="O103" s="2"/>
      <c r="P103" s="97"/>
      <c r="R103" s="22"/>
      <c r="S103" s="22"/>
      <c r="T103" s="2">
        <v>92</v>
      </c>
      <c r="U103" s="23"/>
      <c r="V103" s="24"/>
      <c r="W103" s="23"/>
    </row>
    <row r="104" spans="3:23" ht="11.25" hidden="1" customHeight="1">
      <c r="C104" s="96"/>
      <c r="D104" s="2"/>
      <c r="G104" s="2"/>
      <c r="H104" s="2"/>
      <c r="N104" s="2"/>
      <c r="O104" s="2"/>
      <c r="P104" s="97"/>
      <c r="Q104" s="23"/>
      <c r="R104" s="22"/>
      <c r="S104" s="22"/>
      <c r="T104" s="2">
        <v>91</v>
      </c>
      <c r="U104" s="23"/>
      <c r="V104" s="24"/>
      <c r="W104" s="23"/>
    </row>
    <row r="105" spans="3:23" ht="11.25" hidden="1" customHeight="1">
      <c r="C105" s="96"/>
      <c r="D105" s="2"/>
      <c r="G105" s="2"/>
      <c r="H105" s="2"/>
      <c r="N105" s="2"/>
      <c r="O105" s="2"/>
      <c r="P105" s="97"/>
      <c r="Q105" s="23"/>
      <c r="R105" s="22"/>
      <c r="S105" s="22"/>
      <c r="T105" s="2">
        <v>92</v>
      </c>
      <c r="U105" s="23"/>
      <c r="V105" s="24"/>
      <c r="W105" s="23"/>
    </row>
    <row r="106" spans="3:23" ht="11.25" hidden="1" customHeight="1">
      <c r="C106" s="96"/>
      <c r="D106" s="2"/>
      <c r="G106" s="2"/>
      <c r="H106" s="2"/>
      <c r="N106" s="2"/>
      <c r="O106" s="2"/>
      <c r="P106" s="97"/>
      <c r="Q106" s="23"/>
      <c r="R106" s="22"/>
      <c r="S106" s="22"/>
      <c r="T106" s="2">
        <v>91</v>
      </c>
      <c r="U106" s="23"/>
      <c r="V106" s="24"/>
      <c r="W106" s="23"/>
    </row>
    <row r="107" spans="3:23" ht="11.25" hidden="1" customHeight="1">
      <c r="C107" s="96"/>
      <c r="D107" s="2"/>
      <c r="G107" s="2"/>
      <c r="H107" s="2"/>
      <c r="N107" s="2"/>
      <c r="O107" s="2"/>
      <c r="P107" s="97"/>
      <c r="Q107" s="23"/>
      <c r="R107" s="22"/>
      <c r="S107" s="22"/>
      <c r="T107" s="2">
        <v>92</v>
      </c>
      <c r="U107" s="23"/>
      <c r="V107" s="24"/>
      <c r="W107" s="23"/>
    </row>
    <row r="108" spans="3:23" ht="11.25" hidden="1" customHeight="1">
      <c r="C108" s="96"/>
      <c r="D108" s="2"/>
      <c r="G108" s="2"/>
      <c r="H108" s="2"/>
      <c r="N108" s="2"/>
      <c r="O108" s="2"/>
      <c r="P108" s="97"/>
      <c r="Q108" s="23"/>
      <c r="R108" s="22"/>
      <c r="S108" s="22"/>
      <c r="T108" s="2">
        <v>91</v>
      </c>
      <c r="U108" s="23"/>
      <c r="V108" s="24"/>
      <c r="W108" s="23"/>
    </row>
    <row r="109" spans="3:23" ht="11.25" hidden="1" customHeight="1">
      <c r="C109" s="96"/>
      <c r="D109" s="2"/>
      <c r="G109" s="2"/>
      <c r="H109" s="2"/>
      <c r="N109" s="2"/>
      <c r="O109" s="2"/>
      <c r="P109" s="97"/>
      <c r="Q109" s="23"/>
      <c r="R109" s="22"/>
      <c r="S109" s="22"/>
      <c r="T109" s="2">
        <v>92</v>
      </c>
      <c r="U109" s="23"/>
      <c r="V109" s="24"/>
      <c r="W109" s="23"/>
    </row>
    <row r="110" spans="3:23" ht="11.25" hidden="1" customHeight="1">
      <c r="C110" s="96"/>
      <c r="D110" s="2"/>
      <c r="G110" s="2"/>
      <c r="H110" s="2"/>
      <c r="N110" s="2"/>
      <c r="O110" s="2"/>
      <c r="P110" s="97"/>
      <c r="Q110" s="23"/>
      <c r="R110" s="22"/>
      <c r="S110" s="22"/>
      <c r="T110" s="2">
        <v>91</v>
      </c>
      <c r="U110" s="23"/>
      <c r="V110" s="24"/>
      <c r="W110" s="23"/>
    </row>
    <row r="111" spans="3:23" ht="11.25" hidden="1" customHeight="1">
      <c r="C111" s="96"/>
      <c r="D111" s="2"/>
      <c r="G111" s="2"/>
      <c r="H111" s="2"/>
      <c r="N111" s="2"/>
      <c r="O111" s="2"/>
      <c r="P111" s="97"/>
      <c r="Q111" s="23"/>
      <c r="R111" s="22"/>
      <c r="S111" s="22"/>
      <c r="T111" s="2">
        <v>92</v>
      </c>
      <c r="U111" s="23"/>
      <c r="V111" s="24"/>
      <c r="W111" s="23"/>
    </row>
    <row r="112" spans="3:23" ht="11.25" hidden="1" customHeight="1">
      <c r="C112" s="96"/>
      <c r="D112" s="2"/>
      <c r="G112" s="2"/>
      <c r="H112" s="2"/>
      <c r="N112" s="2"/>
      <c r="O112" s="2"/>
      <c r="P112" s="97"/>
      <c r="Q112" s="23"/>
      <c r="R112" s="22"/>
      <c r="S112" s="22"/>
      <c r="T112" s="2">
        <v>91</v>
      </c>
      <c r="U112" s="23"/>
      <c r="V112" s="24"/>
      <c r="W112" s="23"/>
    </row>
    <row r="113" spans="3:23" ht="11.25" hidden="1" customHeight="1">
      <c r="C113" s="96"/>
      <c r="D113" s="2"/>
      <c r="G113" s="2"/>
      <c r="H113" s="2"/>
      <c r="N113" s="2"/>
      <c r="O113" s="2"/>
      <c r="P113" s="97"/>
      <c r="Q113" s="23"/>
      <c r="R113" s="22"/>
      <c r="S113" s="22"/>
      <c r="T113" s="2">
        <v>92</v>
      </c>
      <c r="U113" s="23"/>
      <c r="V113" s="24"/>
      <c r="W113" s="23"/>
    </row>
    <row r="114" spans="3:23" ht="11.25" hidden="1" customHeight="1">
      <c r="C114" s="96"/>
      <c r="D114" s="2"/>
      <c r="G114" s="2"/>
      <c r="H114" s="2"/>
      <c r="N114" s="2"/>
      <c r="O114" s="2"/>
      <c r="P114" s="97"/>
      <c r="Q114" s="23"/>
      <c r="R114" s="22"/>
      <c r="S114" s="22"/>
      <c r="T114" s="2">
        <v>91</v>
      </c>
      <c r="U114" s="23"/>
      <c r="V114" s="24"/>
      <c r="W114" s="23"/>
    </row>
    <row r="115" spans="3:23" ht="11.25" hidden="1" customHeight="1">
      <c r="C115" s="96"/>
      <c r="D115" s="2"/>
      <c r="G115" s="2"/>
      <c r="H115" s="2"/>
      <c r="N115" s="2"/>
      <c r="O115" s="2"/>
      <c r="P115" s="97"/>
      <c r="Q115" s="23"/>
      <c r="R115" s="22"/>
      <c r="S115" s="22"/>
      <c r="T115" s="2">
        <v>92</v>
      </c>
      <c r="U115" s="23"/>
      <c r="V115" s="24"/>
      <c r="W115" s="23"/>
    </row>
    <row r="116" spans="3:23" ht="11.25" hidden="1" customHeight="1">
      <c r="C116" s="96"/>
      <c r="D116" s="2"/>
      <c r="G116" s="2"/>
      <c r="H116" s="2"/>
      <c r="N116" s="2"/>
      <c r="O116" s="2"/>
      <c r="P116" s="97"/>
      <c r="Q116" s="23"/>
      <c r="R116" s="22"/>
      <c r="S116" s="22"/>
      <c r="T116" s="2">
        <v>91</v>
      </c>
      <c r="U116" s="23"/>
      <c r="V116" s="24"/>
      <c r="W116" s="23"/>
    </row>
    <row r="117" spans="3:23" ht="11.25" hidden="1" customHeight="1">
      <c r="C117" s="96"/>
      <c r="D117" s="2"/>
      <c r="G117" s="2"/>
      <c r="H117" s="2"/>
      <c r="N117" s="2"/>
      <c r="O117" s="2"/>
      <c r="P117" s="97"/>
      <c r="Q117" s="23"/>
      <c r="R117" s="22"/>
      <c r="S117" s="22"/>
      <c r="T117" s="2">
        <v>92</v>
      </c>
      <c r="U117" s="23"/>
      <c r="V117" s="24"/>
      <c r="W117" s="23"/>
    </row>
    <row r="118" spans="3:23" ht="11.25" hidden="1" customHeight="1">
      <c r="C118" s="96"/>
      <c r="D118" s="2"/>
      <c r="G118" s="2"/>
      <c r="H118" s="2"/>
      <c r="N118" s="2"/>
      <c r="O118" s="2"/>
      <c r="P118" s="97"/>
      <c r="Q118" s="23"/>
      <c r="R118" s="22"/>
      <c r="S118" s="22"/>
      <c r="T118" s="2">
        <v>91</v>
      </c>
      <c r="U118" s="23"/>
      <c r="V118" s="24"/>
      <c r="W118" s="23"/>
    </row>
    <row r="119" spans="3:23" ht="11.25" hidden="1" customHeight="1">
      <c r="C119" s="96"/>
      <c r="D119" s="2"/>
      <c r="G119" s="2"/>
      <c r="H119" s="2"/>
      <c r="N119" s="2"/>
      <c r="O119" s="2"/>
      <c r="P119" s="97"/>
      <c r="Q119" s="23"/>
      <c r="R119" s="22"/>
      <c r="S119" s="22"/>
      <c r="T119" s="2">
        <v>92</v>
      </c>
      <c r="U119" s="23"/>
      <c r="V119" s="24"/>
      <c r="W119" s="23"/>
    </row>
    <row r="120" spans="3:23" ht="11.25" hidden="1" customHeight="1">
      <c r="C120" s="96"/>
      <c r="D120" s="2"/>
      <c r="G120" s="2"/>
      <c r="H120" s="2"/>
      <c r="N120" s="2"/>
      <c r="O120" s="2"/>
      <c r="P120" s="97"/>
      <c r="Q120" s="23"/>
      <c r="R120" s="22"/>
      <c r="S120" s="22"/>
      <c r="T120" s="2">
        <v>91</v>
      </c>
      <c r="U120" s="23"/>
      <c r="V120" s="24"/>
      <c r="W120" s="23"/>
    </row>
    <row r="121" spans="3:23" ht="11.25" hidden="1" customHeight="1">
      <c r="C121" s="96"/>
      <c r="D121" s="2"/>
      <c r="G121" s="2"/>
      <c r="H121" s="2"/>
      <c r="N121" s="2"/>
      <c r="O121" s="2"/>
      <c r="P121" s="97"/>
      <c r="Q121" s="23"/>
      <c r="R121" s="22"/>
      <c r="S121" s="22"/>
      <c r="T121" s="2">
        <v>92</v>
      </c>
      <c r="U121" s="23"/>
      <c r="V121" s="24"/>
      <c r="W121" s="23"/>
    </row>
    <row r="122" spans="3:23" ht="11.25" hidden="1" customHeight="1">
      <c r="C122" s="96"/>
      <c r="D122" s="2"/>
      <c r="G122" s="2"/>
      <c r="H122" s="2"/>
      <c r="N122" s="2"/>
      <c r="O122" s="2"/>
      <c r="P122" s="97"/>
      <c r="Q122" s="23"/>
      <c r="R122" s="22"/>
      <c r="S122" s="22"/>
      <c r="T122" s="2">
        <v>91</v>
      </c>
      <c r="U122" s="23"/>
      <c r="V122" s="24"/>
      <c r="W122" s="23"/>
    </row>
    <row r="123" spans="3:23" ht="11.25" hidden="1" customHeight="1">
      <c r="C123" s="96"/>
      <c r="D123" s="2"/>
      <c r="G123" s="2"/>
      <c r="H123" s="2"/>
      <c r="N123" s="2"/>
      <c r="O123" s="2"/>
      <c r="P123" s="97"/>
      <c r="Q123" s="23"/>
      <c r="R123" s="22"/>
      <c r="S123" s="22"/>
      <c r="T123" s="2">
        <v>92</v>
      </c>
      <c r="U123" s="23"/>
      <c r="V123" s="24"/>
      <c r="W123" s="23"/>
    </row>
    <row r="124" spans="3:23" ht="11.25" hidden="1" customHeight="1">
      <c r="C124" s="96"/>
      <c r="D124" s="2"/>
      <c r="G124" s="2"/>
      <c r="H124" s="2"/>
      <c r="N124" s="2"/>
      <c r="O124" s="2"/>
      <c r="P124" s="97"/>
      <c r="Q124" s="23"/>
      <c r="R124" s="22"/>
      <c r="S124" s="22"/>
      <c r="T124" s="2">
        <v>91</v>
      </c>
      <c r="U124" s="23"/>
      <c r="V124" s="24"/>
      <c r="W124" s="23"/>
    </row>
    <row r="125" spans="3:23" ht="11.25" hidden="1" customHeight="1">
      <c r="C125" s="96"/>
      <c r="D125" s="2"/>
      <c r="G125" s="2"/>
      <c r="H125" s="2"/>
      <c r="N125" s="2"/>
      <c r="O125" s="2"/>
      <c r="P125" s="97"/>
      <c r="Q125" s="23"/>
      <c r="R125" s="22"/>
      <c r="S125" s="22"/>
      <c r="T125" s="2">
        <v>92</v>
      </c>
      <c r="U125" s="23"/>
      <c r="V125" s="24"/>
      <c r="W125" s="23"/>
    </row>
    <row r="126" spans="3:23" ht="11.25" hidden="1" customHeight="1">
      <c r="C126" s="96"/>
      <c r="D126" s="2"/>
      <c r="G126" s="2"/>
      <c r="H126" s="2"/>
      <c r="N126" s="2"/>
      <c r="O126" s="2"/>
      <c r="P126" s="97"/>
      <c r="Q126" s="23"/>
      <c r="R126" s="22"/>
      <c r="S126" s="22"/>
      <c r="T126" s="2">
        <v>91</v>
      </c>
      <c r="U126" s="23"/>
      <c r="V126" s="24"/>
      <c r="W126" s="23"/>
    </row>
    <row r="127" spans="3:23" ht="11.25" hidden="1" customHeight="1">
      <c r="C127" s="96"/>
      <c r="D127" s="2"/>
      <c r="G127" s="2"/>
      <c r="H127" s="2"/>
      <c r="N127" s="2"/>
      <c r="O127" s="2"/>
      <c r="P127" s="97"/>
      <c r="Q127" s="23"/>
      <c r="R127" s="22"/>
      <c r="S127" s="22"/>
      <c r="T127" s="2">
        <v>92</v>
      </c>
      <c r="U127" s="23"/>
      <c r="V127" s="24"/>
      <c r="W127" s="23"/>
    </row>
    <row r="128" spans="3:23" ht="11.25" hidden="1" customHeight="1">
      <c r="C128" s="96"/>
      <c r="D128" s="2"/>
      <c r="G128" s="2"/>
      <c r="H128" s="2"/>
      <c r="N128" s="2"/>
      <c r="O128" s="2"/>
      <c r="P128" s="97"/>
      <c r="Q128" s="23"/>
      <c r="R128" s="22"/>
      <c r="S128" s="22"/>
      <c r="T128" s="2">
        <v>91</v>
      </c>
      <c r="U128" s="23"/>
      <c r="V128" s="24"/>
      <c r="W128" s="23"/>
    </row>
    <row r="129" spans="3:23" ht="11.25" hidden="1" customHeight="1">
      <c r="C129" s="96"/>
      <c r="D129" s="2"/>
      <c r="G129" s="2"/>
      <c r="H129" s="2"/>
      <c r="N129" s="2"/>
      <c r="O129" s="2"/>
      <c r="P129" s="97"/>
      <c r="Q129" s="23"/>
      <c r="R129" s="22"/>
      <c r="S129" s="22"/>
      <c r="T129" s="2">
        <v>92</v>
      </c>
      <c r="U129" s="23"/>
      <c r="V129" s="24"/>
      <c r="W129" s="23"/>
    </row>
    <row r="130" spans="3:23" ht="11.25" hidden="1" customHeight="1">
      <c r="C130" s="96"/>
      <c r="D130" s="2"/>
      <c r="G130" s="2"/>
      <c r="H130" s="2"/>
      <c r="N130" s="2"/>
      <c r="O130" s="2"/>
      <c r="P130" s="97"/>
      <c r="Q130" s="23"/>
      <c r="R130" s="22"/>
      <c r="S130" s="22"/>
      <c r="T130" s="2">
        <v>91</v>
      </c>
      <c r="U130" s="23"/>
      <c r="V130" s="24"/>
      <c r="W130" s="23"/>
    </row>
    <row r="131" spans="3:23" ht="11.25" hidden="1" customHeight="1">
      <c r="C131" s="96"/>
      <c r="D131" s="2"/>
      <c r="G131" s="2"/>
      <c r="H131" s="2"/>
      <c r="N131" s="2"/>
      <c r="O131" s="2"/>
      <c r="P131" s="97"/>
      <c r="Q131" s="23"/>
      <c r="R131" s="22"/>
      <c r="S131" s="22"/>
      <c r="T131" s="2">
        <v>92</v>
      </c>
      <c r="U131" s="23"/>
      <c r="V131" s="24"/>
      <c r="W131" s="23"/>
    </row>
    <row r="132" spans="3:23" ht="11.25" hidden="1" customHeight="1">
      <c r="C132" s="96"/>
      <c r="D132" s="2"/>
      <c r="G132" s="2"/>
      <c r="H132" s="2"/>
      <c r="N132" s="2"/>
      <c r="O132" s="2"/>
      <c r="P132" s="97"/>
      <c r="Q132" s="23"/>
      <c r="R132" s="22"/>
      <c r="S132" s="22"/>
      <c r="T132" s="2">
        <v>91</v>
      </c>
      <c r="U132" s="23"/>
      <c r="V132" s="24"/>
      <c r="W132" s="23"/>
    </row>
    <row r="133" spans="3:23" ht="11.25" hidden="1" customHeight="1">
      <c r="C133" s="96"/>
      <c r="D133" s="2"/>
      <c r="G133" s="2"/>
      <c r="H133" s="2"/>
      <c r="N133" s="2"/>
      <c r="O133" s="2"/>
      <c r="P133" s="97"/>
      <c r="Q133" s="23"/>
      <c r="R133" s="22"/>
      <c r="S133" s="22"/>
      <c r="T133" s="2">
        <v>92</v>
      </c>
      <c r="U133" s="23"/>
      <c r="V133" s="24"/>
      <c r="W133" s="23"/>
    </row>
    <row r="134" spans="3:23" ht="11.25" hidden="1" customHeight="1">
      <c r="C134" s="96"/>
      <c r="D134" s="2"/>
      <c r="G134" s="2"/>
      <c r="H134" s="2"/>
      <c r="N134" s="2"/>
      <c r="O134" s="2"/>
      <c r="P134" s="97"/>
      <c r="Q134" s="23"/>
      <c r="R134" s="22"/>
      <c r="S134" s="22"/>
      <c r="T134" s="2">
        <v>91</v>
      </c>
      <c r="U134" s="23"/>
      <c r="V134" s="24"/>
      <c r="W134" s="23"/>
    </row>
    <row r="135" spans="3:23" ht="11.25" hidden="1" customHeight="1">
      <c r="C135" s="96"/>
      <c r="D135" s="2"/>
      <c r="G135" s="2"/>
      <c r="H135" s="2"/>
      <c r="N135" s="2"/>
      <c r="O135" s="2"/>
      <c r="P135" s="97"/>
      <c r="Q135" s="23"/>
      <c r="R135" s="22"/>
      <c r="S135" s="22"/>
      <c r="T135" s="2">
        <v>92</v>
      </c>
      <c r="U135" s="23"/>
      <c r="V135" s="24"/>
      <c r="W135" s="23"/>
    </row>
    <row r="136" spans="3:23" ht="11.25" hidden="1" customHeight="1">
      <c r="C136" s="96"/>
      <c r="D136" s="2"/>
      <c r="G136" s="2"/>
      <c r="H136" s="2"/>
      <c r="N136" s="2"/>
      <c r="O136" s="2"/>
      <c r="P136" s="97"/>
      <c r="Q136" s="23"/>
      <c r="R136" s="22"/>
      <c r="S136" s="22"/>
      <c r="T136" s="2">
        <v>91</v>
      </c>
      <c r="U136" s="23"/>
      <c r="V136" s="24"/>
      <c r="W136" s="23"/>
    </row>
    <row r="137" spans="3:23" ht="11.25" hidden="1" customHeight="1">
      <c r="C137" s="96"/>
      <c r="D137" s="2"/>
      <c r="G137" s="2"/>
      <c r="H137" s="2"/>
      <c r="N137" s="2"/>
      <c r="O137" s="2"/>
      <c r="P137" s="97"/>
      <c r="Q137" s="23"/>
      <c r="R137" s="22"/>
      <c r="S137" s="22"/>
      <c r="T137" s="2">
        <v>92</v>
      </c>
      <c r="U137" s="23"/>
      <c r="V137" s="24"/>
      <c r="W137" s="23"/>
    </row>
    <row r="138" spans="3:23" ht="11.25" hidden="1" customHeight="1">
      <c r="C138" s="96"/>
      <c r="D138" s="2"/>
      <c r="G138" s="2"/>
      <c r="H138" s="2"/>
      <c r="N138" s="2"/>
      <c r="O138" s="2"/>
      <c r="P138" s="97"/>
      <c r="Q138" s="23"/>
      <c r="R138" s="22"/>
      <c r="S138" s="22"/>
      <c r="T138" s="2">
        <v>91</v>
      </c>
      <c r="U138" s="23"/>
      <c r="V138" s="24"/>
      <c r="W138" s="23"/>
    </row>
    <row r="139" spans="3:23" ht="11.25" hidden="1" customHeight="1">
      <c r="C139" s="96"/>
      <c r="D139" s="2"/>
      <c r="G139" s="2"/>
      <c r="H139" s="2"/>
      <c r="N139" s="2"/>
      <c r="O139" s="2"/>
      <c r="P139" s="97"/>
      <c r="Q139" s="23"/>
      <c r="R139" s="22"/>
      <c r="S139" s="22"/>
      <c r="T139" s="2">
        <v>92</v>
      </c>
      <c r="U139" s="23"/>
      <c r="V139" s="24"/>
      <c r="W139" s="23"/>
    </row>
    <row r="140" spans="3:23" ht="11.25" hidden="1" customHeight="1">
      <c r="C140" s="96"/>
      <c r="D140" s="2"/>
      <c r="G140" s="2"/>
      <c r="H140" s="2"/>
      <c r="N140" s="2"/>
      <c r="O140" s="2"/>
      <c r="P140" s="97"/>
      <c r="Q140" s="23"/>
      <c r="R140" s="22"/>
      <c r="S140" s="22"/>
      <c r="T140" s="2">
        <v>91</v>
      </c>
      <c r="U140" s="23"/>
      <c r="V140" s="24"/>
      <c r="W140" s="23"/>
    </row>
    <row r="141" spans="3:23" ht="11.25" hidden="1" customHeight="1">
      <c r="C141" s="96"/>
      <c r="D141" s="2"/>
      <c r="G141" s="2"/>
      <c r="H141" s="2"/>
      <c r="N141" s="2"/>
      <c r="O141" s="2"/>
      <c r="P141" s="97"/>
      <c r="Q141" s="23"/>
      <c r="R141" s="22"/>
      <c r="S141" s="22"/>
      <c r="T141" s="2">
        <v>92</v>
      </c>
      <c r="U141" s="23"/>
      <c r="V141" s="24"/>
      <c r="W141" s="23"/>
    </row>
    <row r="142" spans="3:23" ht="11.25" hidden="1" customHeight="1">
      <c r="C142" s="96"/>
      <c r="D142" s="2"/>
      <c r="G142" s="2"/>
      <c r="H142" s="2"/>
      <c r="N142" s="2"/>
      <c r="O142" s="2"/>
      <c r="P142" s="97"/>
      <c r="Q142" s="23"/>
      <c r="R142" s="22"/>
      <c r="S142" s="22"/>
      <c r="T142" s="2">
        <v>91</v>
      </c>
      <c r="U142" s="23"/>
      <c r="V142" s="24"/>
      <c r="W142" s="23"/>
    </row>
    <row r="143" spans="3:23" ht="11.25" hidden="1" customHeight="1">
      <c r="C143" s="96"/>
      <c r="D143" s="2"/>
      <c r="G143" s="2"/>
      <c r="H143" s="2"/>
      <c r="N143" s="2"/>
      <c r="O143" s="2"/>
      <c r="P143" s="97"/>
      <c r="Q143" s="23"/>
      <c r="R143" s="22"/>
      <c r="S143" s="22"/>
      <c r="T143" s="2">
        <v>92</v>
      </c>
      <c r="U143" s="23"/>
      <c r="V143" s="24"/>
      <c r="W143" s="23"/>
    </row>
    <row r="144" spans="3:23" ht="11.25" hidden="1" customHeight="1">
      <c r="C144" s="96"/>
      <c r="D144" s="2"/>
      <c r="G144" s="2"/>
      <c r="H144" s="2"/>
      <c r="N144" s="2"/>
      <c r="O144" s="2"/>
      <c r="P144" s="97"/>
      <c r="Q144" s="23"/>
      <c r="R144" s="22"/>
      <c r="S144" s="22"/>
      <c r="T144" s="2">
        <v>91</v>
      </c>
      <c r="U144" s="23"/>
      <c r="V144" s="24"/>
      <c r="W144" s="23"/>
    </row>
    <row r="145" spans="3:23" ht="11.25" hidden="1" customHeight="1">
      <c r="C145" s="96"/>
      <c r="D145" s="2"/>
      <c r="G145" s="2"/>
      <c r="H145" s="2"/>
      <c r="N145" s="2"/>
      <c r="O145" s="2"/>
      <c r="P145" s="97"/>
      <c r="Q145" s="23"/>
      <c r="R145" s="22"/>
      <c r="S145" s="22"/>
      <c r="T145" s="2">
        <v>92</v>
      </c>
      <c r="U145" s="23"/>
      <c r="V145" s="24"/>
      <c r="W145" s="23"/>
    </row>
    <row r="146" spans="3:23" ht="11.25" hidden="1" customHeight="1">
      <c r="C146" s="96"/>
      <c r="D146" s="2"/>
      <c r="G146" s="2"/>
      <c r="H146" s="2"/>
      <c r="N146" s="2"/>
      <c r="O146" s="2"/>
      <c r="P146" s="97"/>
      <c r="Q146" s="23"/>
      <c r="R146" s="22"/>
      <c r="S146" s="22"/>
      <c r="T146" s="2">
        <v>91</v>
      </c>
      <c r="U146" s="23"/>
      <c r="V146" s="24"/>
      <c r="W146" s="23"/>
    </row>
    <row r="147" spans="3:23" ht="11.25" hidden="1" customHeight="1">
      <c r="C147" s="96"/>
      <c r="D147" s="2"/>
      <c r="G147" s="2"/>
      <c r="H147" s="2"/>
      <c r="N147" s="2"/>
      <c r="O147" s="2"/>
      <c r="P147" s="97"/>
      <c r="Q147" s="23"/>
      <c r="R147" s="22"/>
      <c r="S147" s="22"/>
      <c r="T147" s="2">
        <v>92</v>
      </c>
      <c r="U147" s="23"/>
      <c r="V147" s="24"/>
      <c r="W147" s="23"/>
    </row>
    <row r="148" spans="3:23" ht="11.25" hidden="1" customHeight="1">
      <c r="C148" s="96"/>
      <c r="D148" s="2"/>
      <c r="G148" s="2"/>
      <c r="H148" s="2"/>
      <c r="N148" s="2"/>
      <c r="O148" s="2"/>
      <c r="P148" s="97"/>
      <c r="Q148" s="23"/>
      <c r="R148" s="22"/>
      <c r="S148" s="22"/>
      <c r="T148" s="2">
        <v>91</v>
      </c>
      <c r="U148" s="23"/>
      <c r="V148" s="24"/>
      <c r="W148" s="23"/>
    </row>
    <row r="149" spans="3:23" ht="11.25" hidden="1" customHeight="1">
      <c r="C149" s="96"/>
      <c r="D149" s="2"/>
      <c r="G149" s="2"/>
      <c r="H149" s="2"/>
      <c r="N149" s="2"/>
      <c r="O149" s="2"/>
      <c r="P149" s="97"/>
      <c r="Q149" s="23"/>
      <c r="R149" s="22"/>
      <c r="S149" s="22"/>
      <c r="T149" s="2">
        <v>92</v>
      </c>
      <c r="U149" s="23"/>
      <c r="V149" s="24"/>
      <c r="W149" s="23"/>
    </row>
    <row r="150" spans="3:23" ht="11.25" hidden="1" customHeight="1">
      <c r="C150" s="96"/>
      <c r="D150" s="2"/>
      <c r="G150" s="2"/>
      <c r="H150" s="2"/>
      <c r="N150" s="2"/>
      <c r="O150" s="2"/>
      <c r="P150" s="97"/>
      <c r="Q150" s="23"/>
      <c r="R150" s="22"/>
      <c r="S150" s="22"/>
      <c r="T150" s="2">
        <v>91</v>
      </c>
      <c r="U150" s="23"/>
      <c r="V150" s="24"/>
      <c r="W150" s="23"/>
    </row>
    <row r="151" spans="3:23" ht="11.25" hidden="1" customHeight="1">
      <c r="C151" s="96"/>
      <c r="D151" s="2"/>
      <c r="G151" s="2"/>
      <c r="H151" s="2"/>
      <c r="N151" s="2"/>
      <c r="O151" s="2"/>
      <c r="P151" s="97"/>
      <c r="Q151" s="23"/>
      <c r="R151" s="22"/>
      <c r="S151" s="22"/>
      <c r="T151" s="2">
        <v>92</v>
      </c>
      <c r="U151" s="23"/>
      <c r="V151" s="24"/>
      <c r="W151" s="23"/>
    </row>
    <row r="152" spans="3:23" ht="11.25" hidden="1" customHeight="1">
      <c r="C152" s="96"/>
      <c r="D152" s="2"/>
      <c r="G152" s="2"/>
      <c r="H152" s="2"/>
      <c r="N152" s="2"/>
      <c r="O152" s="2"/>
      <c r="P152" s="97"/>
      <c r="Q152" s="23"/>
      <c r="R152" s="22"/>
      <c r="S152" s="22"/>
      <c r="T152" s="2">
        <v>91</v>
      </c>
      <c r="U152" s="23"/>
      <c r="V152" s="24"/>
      <c r="W152" s="23"/>
    </row>
    <row r="153" spans="3:23" ht="11.25" hidden="1" customHeight="1">
      <c r="C153" s="96"/>
      <c r="D153" s="2"/>
      <c r="G153" s="2"/>
      <c r="H153" s="2"/>
      <c r="N153" s="2"/>
      <c r="O153" s="2"/>
      <c r="P153" s="97"/>
      <c r="Q153" s="23"/>
      <c r="R153" s="22"/>
      <c r="S153" s="22"/>
      <c r="T153" s="2">
        <v>92</v>
      </c>
      <c r="U153" s="23"/>
      <c r="V153" s="24"/>
      <c r="W153" s="23"/>
    </row>
    <row r="154" spans="3:23" ht="11.25" hidden="1" customHeight="1">
      <c r="C154" s="96"/>
      <c r="D154" s="2"/>
      <c r="G154" s="2"/>
      <c r="H154" s="2"/>
      <c r="N154" s="2"/>
      <c r="O154" s="2"/>
      <c r="P154" s="97"/>
      <c r="Q154" s="23"/>
      <c r="R154" s="22"/>
      <c r="S154" s="22"/>
      <c r="T154" s="2">
        <v>91</v>
      </c>
      <c r="U154" s="23"/>
      <c r="V154" s="24"/>
      <c r="W154" s="23"/>
    </row>
    <row r="155" spans="3:23" ht="11.25" hidden="1" customHeight="1">
      <c r="C155" s="96"/>
      <c r="D155" s="2"/>
      <c r="G155" s="2"/>
      <c r="H155" s="2"/>
      <c r="N155" s="2"/>
      <c r="O155" s="2"/>
      <c r="P155" s="97"/>
      <c r="Q155" s="23"/>
      <c r="R155" s="22"/>
      <c r="S155" s="22"/>
      <c r="T155" s="2">
        <v>92</v>
      </c>
      <c r="U155" s="23"/>
      <c r="V155" s="24"/>
      <c r="W155" s="23"/>
    </row>
    <row r="156" spans="3:23" ht="11.25" hidden="1" customHeight="1">
      <c r="C156" s="96"/>
      <c r="D156" s="2"/>
      <c r="G156" s="2"/>
      <c r="H156" s="2"/>
      <c r="N156" s="2"/>
      <c r="O156" s="2"/>
      <c r="P156" s="97"/>
      <c r="Q156" s="23"/>
      <c r="R156" s="22"/>
      <c r="S156" s="22"/>
      <c r="T156" s="2">
        <v>91</v>
      </c>
      <c r="U156" s="23"/>
      <c r="V156" s="24"/>
      <c r="W156" s="23"/>
    </row>
    <row r="157" spans="3:23" ht="11.25" hidden="1" customHeight="1">
      <c r="C157" s="96"/>
      <c r="D157" s="2"/>
      <c r="G157" s="2"/>
      <c r="H157" s="2"/>
      <c r="N157" s="2"/>
      <c r="O157" s="2"/>
      <c r="P157" s="97"/>
      <c r="Q157" s="23"/>
      <c r="R157" s="22"/>
      <c r="S157" s="22"/>
      <c r="T157" s="2">
        <v>92</v>
      </c>
      <c r="U157" s="23"/>
      <c r="V157" s="24"/>
      <c r="W157" s="23"/>
    </row>
    <row r="158" spans="3:23" ht="11.25" hidden="1" customHeight="1">
      <c r="C158" s="96"/>
      <c r="D158" s="2"/>
      <c r="G158" s="2"/>
      <c r="H158" s="2"/>
      <c r="N158" s="2"/>
      <c r="O158" s="2"/>
      <c r="P158" s="97"/>
      <c r="Q158" s="23"/>
      <c r="R158" s="22"/>
      <c r="S158" s="22"/>
      <c r="T158" s="2">
        <v>91</v>
      </c>
      <c r="U158" s="23"/>
      <c r="V158" s="24"/>
      <c r="W158" s="23"/>
    </row>
    <row r="159" spans="3:23" ht="11.25" hidden="1" customHeight="1">
      <c r="C159" s="96"/>
      <c r="D159" s="2"/>
      <c r="G159" s="2"/>
      <c r="H159" s="2"/>
      <c r="N159" s="2"/>
      <c r="O159" s="2"/>
      <c r="P159" s="97"/>
      <c r="Q159" s="23"/>
      <c r="R159" s="22"/>
      <c r="S159" s="22"/>
      <c r="T159" s="2">
        <v>92</v>
      </c>
      <c r="U159" s="23"/>
      <c r="V159" s="24"/>
      <c r="W159" s="23"/>
    </row>
    <row r="160" spans="3:23" ht="11.25" hidden="1" customHeight="1">
      <c r="C160" s="96"/>
      <c r="D160" s="2"/>
      <c r="G160" s="2"/>
      <c r="H160" s="2"/>
      <c r="N160" s="2"/>
      <c r="O160" s="2"/>
      <c r="P160" s="97"/>
      <c r="Q160" s="23"/>
      <c r="R160" s="22"/>
      <c r="S160" s="22"/>
      <c r="T160" s="2">
        <v>91</v>
      </c>
      <c r="U160" s="23"/>
      <c r="V160" s="24"/>
      <c r="W160" s="23"/>
    </row>
    <row r="161" spans="3:23" ht="11.25" hidden="1" customHeight="1">
      <c r="C161" s="96"/>
      <c r="D161" s="2"/>
      <c r="G161" s="2"/>
      <c r="H161" s="2"/>
      <c r="N161" s="2"/>
      <c r="O161" s="2"/>
      <c r="P161" s="97"/>
      <c r="Q161" s="23"/>
      <c r="R161" s="22"/>
      <c r="S161" s="22"/>
      <c r="T161" s="2">
        <v>92</v>
      </c>
      <c r="U161" s="23"/>
      <c r="V161" s="24"/>
      <c r="W161" s="23"/>
    </row>
    <row r="162" spans="3:23" ht="11.25" hidden="1" customHeight="1">
      <c r="C162" s="96"/>
      <c r="D162" s="2"/>
      <c r="G162" s="2"/>
      <c r="H162" s="2"/>
      <c r="N162" s="2"/>
      <c r="O162" s="2"/>
      <c r="P162" s="97"/>
      <c r="Q162" s="23"/>
      <c r="R162" s="22"/>
      <c r="S162" s="22"/>
      <c r="T162" s="2">
        <v>91</v>
      </c>
      <c r="U162" s="23"/>
      <c r="V162" s="24"/>
      <c r="W162" s="23"/>
    </row>
    <row r="163" spans="3:23" ht="11.25" hidden="1" customHeight="1">
      <c r="C163" s="96"/>
      <c r="D163" s="2"/>
      <c r="G163" s="2"/>
      <c r="H163" s="2"/>
      <c r="N163" s="2"/>
      <c r="O163" s="2"/>
      <c r="P163" s="97"/>
      <c r="Q163" s="23"/>
      <c r="R163" s="22"/>
      <c r="S163" s="22"/>
      <c r="T163" s="2">
        <v>92</v>
      </c>
      <c r="U163" s="23"/>
      <c r="V163" s="24"/>
      <c r="W163" s="23"/>
    </row>
    <row r="164" spans="3:23" ht="11.25" hidden="1" customHeight="1">
      <c r="C164" s="96"/>
      <c r="D164" s="2"/>
      <c r="G164" s="2"/>
      <c r="H164" s="2"/>
      <c r="N164" s="2"/>
      <c r="O164" s="2"/>
      <c r="P164" s="97"/>
      <c r="Q164" s="23"/>
      <c r="R164" s="22"/>
      <c r="S164" s="22"/>
      <c r="T164" s="2">
        <v>91</v>
      </c>
      <c r="U164" s="23"/>
      <c r="V164" s="24"/>
      <c r="W164" s="23"/>
    </row>
    <row r="165" spans="3:23" ht="11.25" hidden="1" customHeight="1">
      <c r="C165" s="96"/>
      <c r="D165" s="2"/>
      <c r="G165" s="2"/>
      <c r="H165" s="2"/>
      <c r="N165" s="2"/>
      <c r="O165" s="2"/>
      <c r="P165" s="97"/>
      <c r="Q165" s="23"/>
      <c r="R165" s="22"/>
      <c r="S165" s="22"/>
      <c r="T165" s="2">
        <v>92</v>
      </c>
      <c r="U165" s="23"/>
      <c r="V165" s="24"/>
      <c r="W165" s="23"/>
    </row>
    <row r="166" spans="3:23" ht="11.25" hidden="1" customHeight="1">
      <c r="C166" s="96"/>
      <c r="D166" s="2"/>
      <c r="G166" s="2"/>
      <c r="H166" s="2"/>
      <c r="N166" s="2"/>
      <c r="O166" s="2"/>
      <c r="P166" s="97"/>
      <c r="Q166" s="23"/>
      <c r="R166" s="22"/>
      <c r="S166" s="22"/>
      <c r="T166" s="2">
        <v>91</v>
      </c>
      <c r="U166" s="23"/>
      <c r="V166" s="24"/>
      <c r="W166" s="23"/>
    </row>
    <row r="167" spans="3:23" ht="11.25" hidden="1" customHeight="1">
      <c r="C167" s="96"/>
      <c r="D167" s="2"/>
      <c r="G167" s="2"/>
      <c r="H167" s="2"/>
      <c r="N167" s="2"/>
      <c r="O167" s="2"/>
      <c r="P167" s="97"/>
      <c r="Q167" s="23"/>
      <c r="R167" s="22"/>
      <c r="S167" s="22"/>
      <c r="T167" s="2">
        <v>92</v>
      </c>
      <c r="U167" s="23"/>
      <c r="V167" s="24"/>
      <c r="W167" s="23"/>
    </row>
    <row r="168" spans="3:23" ht="11.25" hidden="1" customHeight="1">
      <c r="C168" s="96"/>
      <c r="D168" s="2"/>
      <c r="G168" s="2"/>
      <c r="H168" s="2"/>
      <c r="N168" s="2"/>
      <c r="O168" s="2"/>
      <c r="P168" s="97"/>
      <c r="Q168" s="23"/>
      <c r="R168" s="22"/>
      <c r="S168" s="22"/>
      <c r="T168" s="2">
        <v>91</v>
      </c>
      <c r="U168" s="23"/>
      <c r="V168" s="24"/>
      <c r="W168" s="23"/>
    </row>
    <row r="169" spans="3:23" ht="11.25" hidden="1" customHeight="1">
      <c r="C169" s="96"/>
      <c r="D169" s="2"/>
      <c r="G169" s="2"/>
      <c r="H169" s="2"/>
      <c r="N169" s="2"/>
      <c r="O169" s="2"/>
      <c r="P169" s="97"/>
      <c r="Q169" s="23"/>
      <c r="R169" s="22"/>
      <c r="S169" s="22"/>
      <c r="T169" s="2">
        <v>92</v>
      </c>
      <c r="U169" s="23"/>
      <c r="V169" s="24"/>
      <c r="W169" s="23"/>
    </row>
    <row r="170" spans="3:23" ht="11.25" hidden="1" customHeight="1">
      <c r="C170" s="96"/>
      <c r="D170" s="2"/>
      <c r="G170" s="2"/>
      <c r="H170" s="2"/>
      <c r="N170" s="2"/>
      <c r="O170" s="2"/>
      <c r="P170" s="97"/>
      <c r="Q170" s="23"/>
      <c r="R170" s="22"/>
      <c r="S170" s="22"/>
      <c r="T170" s="2">
        <v>91</v>
      </c>
      <c r="U170" s="23"/>
      <c r="V170" s="24"/>
      <c r="W170" s="23"/>
    </row>
    <row r="171" spans="3:23" ht="11.25" hidden="1" customHeight="1">
      <c r="C171" s="96"/>
      <c r="D171" s="2"/>
      <c r="G171" s="2"/>
      <c r="H171" s="2"/>
      <c r="N171" s="2"/>
      <c r="O171" s="2"/>
      <c r="P171" s="97"/>
      <c r="Q171" s="23"/>
      <c r="R171" s="22"/>
      <c r="S171" s="22"/>
      <c r="T171" s="2">
        <v>92</v>
      </c>
      <c r="U171" s="23"/>
      <c r="V171" s="24"/>
      <c r="W171" s="23"/>
    </row>
    <row r="172" spans="3:23" ht="11.25" hidden="1" customHeight="1">
      <c r="C172" s="96"/>
      <c r="D172" s="2"/>
      <c r="G172" s="2"/>
      <c r="H172" s="2"/>
      <c r="N172" s="2"/>
      <c r="O172" s="2"/>
      <c r="P172" s="97"/>
      <c r="Q172" s="23"/>
      <c r="R172" s="22"/>
      <c r="S172" s="22"/>
      <c r="T172" s="2">
        <v>91</v>
      </c>
      <c r="U172" s="23"/>
      <c r="V172" s="24"/>
      <c r="W172" s="23"/>
    </row>
    <row r="173" spans="3:23" ht="11.25" hidden="1" customHeight="1">
      <c r="C173" s="96"/>
      <c r="D173" s="2"/>
      <c r="G173" s="2"/>
      <c r="H173" s="2"/>
      <c r="N173" s="2"/>
      <c r="O173" s="2"/>
      <c r="P173" s="97"/>
      <c r="Q173" s="23"/>
      <c r="R173" s="22"/>
      <c r="S173" s="22"/>
      <c r="T173" s="2">
        <v>92</v>
      </c>
      <c r="U173" s="23"/>
      <c r="V173" s="24"/>
      <c r="W173" s="23"/>
    </row>
    <row r="174" spans="3:23" ht="11.25" hidden="1" customHeight="1">
      <c r="C174" s="96"/>
      <c r="D174" s="2"/>
      <c r="G174" s="2"/>
      <c r="H174" s="2"/>
      <c r="N174" s="2"/>
      <c r="O174" s="2"/>
      <c r="P174" s="97"/>
      <c r="Q174" s="23"/>
      <c r="R174" s="22"/>
      <c r="S174" s="22"/>
      <c r="T174" s="2">
        <v>91</v>
      </c>
      <c r="U174" s="23"/>
      <c r="V174" s="24"/>
      <c r="W174" s="23"/>
    </row>
    <row r="175" spans="3:23" ht="11.25" hidden="1" customHeight="1">
      <c r="C175" s="96"/>
      <c r="D175" s="2"/>
      <c r="G175" s="2"/>
      <c r="H175" s="2"/>
      <c r="N175" s="2"/>
      <c r="O175" s="2"/>
      <c r="P175" s="97"/>
      <c r="Q175" s="23"/>
      <c r="R175" s="22"/>
      <c r="S175" s="22"/>
      <c r="T175" s="2">
        <v>92</v>
      </c>
      <c r="U175" s="23"/>
      <c r="V175" s="24"/>
      <c r="W175" s="23"/>
    </row>
    <row r="176" spans="3:23" ht="11.25" hidden="1" customHeight="1">
      <c r="C176" s="96"/>
      <c r="D176" s="2"/>
      <c r="G176" s="2"/>
      <c r="H176" s="2"/>
      <c r="N176" s="2"/>
      <c r="O176" s="2"/>
      <c r="P176" s="97"/>
      <c r="Q176" s="23"/>
      <c r="R176" s="22"/>
      <c r="S176" s="22"/>
      <c r="T176" s="2">
        <v>91</v>
      </c>
      <c r="U176" s="23"/>
      <c r="V176" s="24"/>
      <c r="W176" s="23"/>
    </row>
    <row r="177" spans="3:23" ht="11.25" hidden="1" customHeight="1">
      <c r="C177" s="96"/>
      <c r="D177" s="2"/>
      <c r="G177" s="2"/>
      <c r="H177" s="2"/>
      <c r="N177" s="2"/>
      <c r="O177" s="2"/>
      <c r="P177" s="97"/>
      <c r="Q177" s="23"/>
      <c r="R177" s="22"/>
      <c r="S177" s="22"/>
      <c r="T177" s="2">
        <v>92</v>
      </c>
      <c r="U177" s="23"/>
      <c r="V177" s="24"/>
      <c r="W177" s="23"/>
    </row>
    <row r="178" spans="3:23" ht="11.25" hidden="1" customHeight="1">
      <c r="C178" s="96"/>
      <c r="D178" s="2"/>
      <c r="G178" s="2"/>
      <c r="H178" s="2"/>
      <c r="N178" s="2"/>
      <c r="O178" s="2"/>
      <c r="P178" s="97"/>
      <c r="Q178" s="23"/>
      <c r="R178" s="22"/>
      <c r="S178" s="22"/>
      <c r="T178" s="2">
        <v>91</v>
      </c>
      <c r="U178" s="23"/>
      <c r="V178" s="24"/>
      <c r="W178" s="23"/>
    </row>
    <row r="179" spans="3:23" ht="11.25" hidden="1" customHeight="1">
      <c r="C179" s="96"/>
      <c r="D179" s="2"/>
      <c r="G179" s="2"/>
      <c r="H179" s="2"/>
      <c r="N179" s="2"/>
      <c r="O179" s="2"/>
      <c r="P179" s="97"/>
      <c r="Q179" s="23"/>
      <c r="R179" s="22"/>
      <c r="S179" s="22"/>
      <c r="T179" s="2">
        <v>92</v>
      </c>
      <c r="U179" s="23"/>
      <c r="V179" s="24"/>
      <c r="W179" s="23"/>
    </row>
    <row r="180" spans="3:23" ht="11.25" hidden="1" customHeight="1">
      <c r="C180" s="96"/>
      <c r="D180" s="2"/>
      <c r="G180" s="2"/>
      <c r="H180" s="2"/>
      <c r="N180" s="2"/>
      <c r="O180" s="2"/>
      <c r="P180" s="97"/>
      <c r="Q180" s="23"/>
      <c r="R180" s="22"/>
      <c r="S180" s="22"/>
      <c r="T180" s="2">
        <v>91</v>
      </c>
      <c r="U180" s="23"/>
      <c r="V180" s="24"/>
      <c r="W180" s="23"/>
    </row>
    <row r="181" spans="3:23" ht="11.25" hidden="1" customHeight="1">
      <c r="C181" s="96"/>
      <c r="D181" s="2"/>
      <c r="G181" s="2"/>
      <c r="H181" s="2"/>
      <c r="N181" s="2"/>
      <c r="O181" s="2"/>
      <c r="P181" s="97"/>
      <c r="Q181" s="23"/>
      <c r="R181" s="22"/>
      <c r="S181" s="22"/>
      <c r="T181" s="2">
        <v>92</v>
      </c>
      <c r="U181" s="23"/>
      <c r="V181" s="24"/>
      <c r="W181" s="23"/>
    </row>
    <row r="182" spans="3:23" ht="11.25" hidden="1" customHeight="1">
      <c r="C182" s="96"/>
      <c r="D182" s="2"/>
      <c r="G182" s="2"/>
      <c r="H182" s="2"/>
      <c r="N182" s="2"/>
      <c r="O182" s="2"/>
      <c r="P182" s="97"/>
      <c r="Q182" s="23"/>
      <c r="R182" s="22"/>
      <c r="S182" s="22"/>
      <c r="T182" s="2">
        <v>91</v>
      </c>
      <c r="U182" s="23"/>
      <c r="V182" s="24"/>
      <c r="W182" s="23"/>
    </row>
    <row r="183" spans="3:23" ht="11.25" hidden="1" customHeight="1">
      <c r="C183" s="96"/>
      <c r="D183" s="2"/>
      <c r="G183" s="2"/>
      <c r="H183" s="2"/>
      <c r="N183" s="2"/>
      <c r="O183" s="2"/>
      <c r="P183" s="97"/>
      <c r="Q183" s="23"/>
      <c r="R183" s="22"/>
      <c r="S183" s="22"/>
      <c r="T183" s="2">
        <v>92</v>
      </c>
      <c r="U183" s="23"/>
      <c r="V183" s="24"/>
      <c r="W183" s="23"/>
    </row>
    <row r="184" spans="3:23" ht="11.25" hidden="1" customHeight="1">
      <c r="C184" s="96"/>
      <c r="D184" s="2"/>
      <c r="G184" s="2"/>
      <c r="H184" s="2"/>
      <c r="N184" s="2"/>
      <c r="O184" s="2"/>
      <c r="P184" s="97"/>
      <c r="Q184" s="23"/>
      <c r="R184" s="22"/>
      <c r="S184" s="22"/>
      <c r="T184" s="2">
        <v>91</v>
      </c>
      <c r="U184" s="23"/>
      <c r="V184" s="24"/>
      <c r="W184" s="23"/>
    </row>
    <row r="185" spans="3:23" ht="11.25" hidden="1" customHeight="1">
      <c r="C185" s="96"/>
      <c r="D185" s="2"/>
      <c r="G185" s="2"/>
      <c r="H185" s="2"/>
      <c r="N185" s="2"/>
      <c r="O185" s="2"/>
      <c r="P185" s="97"/>
      <c r="Q185" s="23"/>
      <c r="R185" s="22"/>
      <c r="S185" s="22"/>
      <c r="T185" s="2">
        <v>92</v>
      </c>
      <c r="U185" s="23"/>
      <c r="V185" s="24"/>
      <c r="W185" s="23"/>
    </row>
    <row r="186" spans="3:23" ht="11.25" hidden="1" customHeight="1">
      <c r="C186" s="96"/>
      <c r="D186" s="2"/>
      <c r="G186" s="2"/>
      <c r="H186" s="2"/>
      <c r="N186" s="2"/>
      <c r="O186" s="2"/>
      <c r="P186" s="97"/>
      <c r="Q186" s="23"/>
      <c r="R186" s="22"/>
      <c r="S186" s="22"/>
      <c r="T186" s="2">
        <v>91</v>
      </c>
      <c r="U186" s="23"/>
      <c r="V186" s="24"/>
      <c r="W186" s="23"/>
    </row>
    <row r="187" spans="3:23" ht="11.25" hidden="1" customHeight="1">
      <c r="C187" s="96"/>
      <c r="D187" s="2"/>
      <c r="G187" s="2"/>
      <c r="H187" s="2"/>
      <c r="N187" s="2"/>
      <c r="O187" s="2"/>
      <c r="P187" s="97"/>
      <c r="Q187" s="23"/>
      <c r="R187" s="22"/>
      <c r="S187" s="22"/>
      <c r="T187" s="2">
        <v>92</v>
      </c>
      <c r="U187" s="23"/>
      <c r="V187" s="24"/>
      <c r="W187" s="23"/>
    </row>
    <row r="188" spans="3:23" ht="11.25" hidden="1" customHeight="1">
      <c r="C188" s="96"/>
      <c r="D188" s="2"/>
      <c r="G188" s="2"/>
      <c r="H188" s="2"/>
      <c r="N188" s="2"/>
      <c r="O188" s="2"/>
      <c r="P188" s="97"/>
      <c r="Q188" s="23"/>
      <c r="R188" s="22"/>
      <c r="S188" s="22"/>
      <c r="T188" s="2">
        <v>91</v>
      </c>
      <c r="U188" s="23"/>
      <c r="V188" s="24"/>
      <c r="W188" s="23"/>
    </row>
    <row r="189" spans="3:23" ht="11.25" hidden="1" customHeight="1">
      <c r="C189" s="96"/>
      <c r="D189" s="2"/>
      <c r="G189" s="2"/>
      <c r="H189" s="2"/>
      <c r="N189" s="2"/>
      <c r="O189" s="2"/>
      <c r="P189" s="97"/>
      <c r="Q189" s="23"/>
      <c r="R189" s="22"/>
      <c r="S189" s="22"/>
      <c r="T189" s="2">
        <v>92</v>
      </c>
      <c r="U189" s="23"/>
      <c r="V189" s="24"/>
      <c r="W189" s="23"/>
    </row>
    <row r="190" spans="3:23" ht="11.25" hidden="1" customHeight="1">
      <c r="C190" s="96"/>
      <c r="D190" s="2"/>
      <c r="G190" s="2"/>
      <c r="H190" s="2"/>
      <c r="N190" s="2"/>
      <c r="O190" s="2"/>
      <c r="P190" s="97"/>
      <c r="Q190" s="23"/>
      <c r="R190" s="22"/>
      <c r="S190" s="22"/>
      <c r="T190" s="2">
        <v>91</v>
      </c>
      <c r="U190" s="23"/>
      <c r="V190" s="24"/>
      <c r="W190" s="23"/>
    </row>
    <row r="191" spans="3:23" ht="11.25" hidden="1" customHeight="1">
      <c r="C191" s="96"/>
      <c r="D191" s="2"/>
      <c r="G191" s="2"/>
      <c r="H191" s="2"/>
      <c r="N191" s="2"/>
      <c r="O191" s="2"/>
      <c r="P191" s="97"/>
      <c r="Q191" s="23"/>
      <c r="R191" s="22"/>
      <c r="S191" s="22"/>
      <c r="T191" s="2">
        <v>92</v>
      </c>
      <c r="U191" s="23"/>
      <c r="V191" s="24"/>
      <c r="W191" s="23"/>
    </row>
    <row r="192" spans="3:23" ht="11.25" hidden="1" customHeight="1">
      <c r="C192" s="96"/>
      <c r="D192" s="2"/>
      <c r="G192" s="2"/>
      <c r="H192" s="2"/>
      <c r="N192" s="2"/>
      <c r="O192" s="2"/>
      <c r="P192" s="97"/>
      <c r="Q192" s="23"/>
      <c r="R192" s="22"/>
      <c r="S192" s="22"/>
      <c r="T192" s="2">
        <v>91</v>
      </c>
      <c r="U192" s="23"/>
      <c r="V192" s="24"/>
      <c r="W192" s="23"/>
    </row>
    <row r="193" spans="3:23" ht="11.25" hidden="1" customHeight="1">
      <c r="C193" s="96"/>
      <c r="D193" s="2"/>
      <c r="G193" s="2"/>
      <c r="H193" s="2"/>
      <c r="N193" s="2"/>
      <c r="O193" s="2"/>
      <c r="P193" s="97"/>
      <c r="Q193" s="23"/>
      <c r="R193" s="22"/>
      <c r="S193" s="22"/>
      <c r="T193" s="2">
        <v>92</v>
      </c>
      <c r="U193" s="23"/>
      <c r="V193" s="24"/>
      <c r="W193" s="23"/>
    </row>
    <row r="194" spans="3:23" ht="11.25" hidden="1" customHeight="1">
      <c r="C194" s="96"/>
      <c r="D194" s="2"/>
      <c r="G194" s="2"/>
      <c r="H194" s="2"/>
      <c r="N194" s="2"/>
      <c r="O194" s="2"/>
      <c r="P194" s="97"/>
      <c r="Q194" s="23"/>
      <c r="R194" s="22"/>
      <c r="S194" s="22"/>
      <c r="T194" s="2">
        <v>91</v>
      </c>
      <c r="U194" s="23"/>
      <c r="V194" s="24"/>
      <c r="W194" s="23"/>
    </row>
    <row r="195" spans="3:23" ht="11.25" hidden="1" customHeight="1">
      <c r="C195" s="96"/>
      <c r="D195" s="2"/>
      <c r="G195" s="2"/>
      <c r="H195" s="2"/>
      <c r="N195" s="2"/>
      <c r="O195" s="2"/>
      <c r="P195" s="97"/>
      <c r="Q195" s="23"/>
      <c r="R195" s="22"/>
      <c r="S195" s="22"/>
      <c r="T195" s="2">
        <v>92</v>
      </c>
      <c r="U195" s="23"/>
      <c r="V195" s="24"/>
      <c r="W195" s="23"/>
    </row>
    <row r="196" spans="3:23" ht="11.25" hidden="1" customHeight="1">
      <c r="C196" s="96"/>
      <c r="D196" s="2"/>
      <c r="G196" s="2"/>
      <c r="H196" s="2"/>
      <c r="N196" s="2"/>
      <c r="O196" s="2"/>
      <c r="P196" s="97"/>
      <c r="Q196" s="23"/>
      <c r="R196" s="22"/>
      <c r="S196" s="22"/>
      <c r="T196" s="2">
        <v>91</v>
      </c>
      <c r="U196" s="23"/>
      <c r="V196" s="24"/>
      <c r="W196" s="23"/>
    </row>
    <row r="197" spans="3:23" ht="11.25" hidden="1" customHeight="1">
      <c r="C197" s="96"/>
      <c r="D197" s="2"/>
      <c r="G197" s="2"/>
      <c r="H197" s="2"/>
      <c r="N197" s="2"/>
      <c r="O197" s="2"/>
      <c r="P197" s="97"/>
      <c r="Q197" s="23"/>
      <c r="R197" s="22"/>
      <c r="S197" s="22"/>
      <c r="T197" s="2">
        <v>92</v>
      </c>
      <c r="U197" s="23"/>
      <c r="V197" s="24"/>
      <c r="W197" s="23"/>
    </row>
    <row r="198" spans="3:23" ht="11.25" hidden="1" customHeight="1">
      <c r="C198" s="96"/>
      <c r="D198" s="2"/>
      <c r="G198" s="2"/>
      <c r="H198" s="2"/>
      <c r="N198" s="2"/>
      <c r="O198" s="2"/>
      <c r="P198" s="97"/>
      <c r="Q198" s="23"/>
      <c r="R198" s="22"/>
      <c r="S198" s="22"/>
      <c r="T198" s="2">
        <v>91</v>
      </c>
      <c r="U198" s="23"/>
      <c r="V198" s="24"/>
      <c r="W198" s="23"/>
    </row>
    <row r="199" spans="3:23" ht="11.25" hidden="1" customHeight="1">
      <c r="C199" s="96"/>
      <c r="D199" s="2"/>
      <c r="G199" s="2"/>
      <c r="H199" s="2"/>
      <c r="N199" s="2"/>
      <c r="O199" s="2"/>
      <c r="P199" s="97"/>
      <c r="Q199" s="23"/>
      <c r="R199" s="22"/>
      <c r="S199" s="22"/>
      <c r="T199" s="2">
        <v>92</v>
      </c>
      <c r="U199" s="23"/>
      <c r="V199" s="24"/>
      <c r="W199" s="23"/>
    </row>
    <row r="200" spans="3:23" ht="11.25" hidden="1" customHeight="1">
      <c r="C200" s="96"/>
      <c r="D200" s="2"/>
      <c r="G200" s="2"/>
      <c r="H200" s="2"/>
      <c r="N200" s="2"/>
      <c r="O200" s="2"/>
      <c r="P200" s="97"/>
      <c r="Q200" s="23"/>
      <c r="R200" s="22"/>
      <c r="S200" s="22"/>
      <c r="T200" s="2">
        <v>91</v>
      </c>
      <c r="U200" s="23"/>
      <c r="V200" s="24"/>
      <c r="W200" s="23"/>
    </row>
    <row r="201" spans="3:23" ht="11.25" hidden="1" customHeight="1">
      <c r="C201" s="96"/>
      <c r="D201" s="2"/>
      <c r="G201" s="2"/>
      <c r="H201" s="2"/>
      <c r="N201" s="2"/>
      <c r="O201" s="2"/>
      <c r="P201" s="97"/>
      <c r="Q201" s="23"/>
      <c r="R201" s="22"/>
      <c r="S201" s="22"/>
      <c r="T201" s="2">
        <v>92</v>
      </c>
      <c r="U201" s="23"/>
      <c r="V201" s="24"/>
      <c r="W201" s="23"/>
    </row>
    <row r="202" spans="3:23" ht="11.25" hidden="1" customHeight="1">
      <c r="C202" s="96"/>
      <c r="D202" s="2"/>
      <c r="G202" s="2"/>
      <c r="H202" s="2"/>
      <c r="N202" s="2"/>
      <c r="O202" s="2"/>
      <c r="P202" s="97"/>
      <c r="Q202" s="23"/>
      <c r="R202" s="22"/>
      <c r="S202" s="22"/>
      <c r="T202" s="2">
        <v>91</v>
      </c>
      <c r="U202" s="23"/>
      <c r="V202" s="24"/>
      <c r="W202" s="23"/>
    </row>
    <row r="203" spans="3:23" ht="11.25" hidden="1" customHeight="1">
      <c r="C203" s="96"/>
      <c r="D203" s="2"/>
      <c r="G203" s="2"/>
      <c r="H203" s="2"/>
      <c r="N203" s="2"/>
      <c r="O203" s="2"/>
      <c r="P203" s="97"/>
      <c r="Q203" s="23"/>
      <c r="R203" s="22"/>
      <c r="S203" s="22"/>
      <c r="T203" s="2">
        <v>92</v>
      </c>
      <c r="U203" s="23"/>
      <c r="V203" s="24"/>
      <c r="W203" s="23"/>
    </row>
    <row r="204" spans="3:23" ht="11.25" hidden="1" customHeight="1">
      <c r="C204" s="96"/>
      <c r="D204" s="2"/>
      <c r="G204" s="2"/>
      <c r="H204" s="2"/>
      <c r="N204" s="2"/>
      <c r="O204" s="2"/>
      <c r="P204" s="97"/>
      <c r="Q204" s="23"/>
      <c r="R204" s="22"/>
      <c r="S204" s="22"/>
      <c r="T204" s="2">
        <v>91</v>
      </c>
      <c r="U204" s="23"/>
      <c r="V204" s="24"/>
      <c r="W204" s="23"/>
    </row>
    <row r="205" spans="3:23" ht="11.25" hidden="1" customHeight="1">
      <c r="C205" s="96"/>
      <c r="D205" s="2"/>
      <c r="G205" s="2"/>
      <c r="H205" s="2"/>
      <c r="N205" s="2"/>
      <c r="O205" s="2"/>
      <c r="P205" s="97"/>
      <c r="Q205" s="23"/>
      <c r="R205" s="22"/>
      <c r="S205" s="22"/>
      <c r="T205" s="2">
        <v>92</v>
      </c>
      <c r="U205" s="23"/>
      <c r="V205" s="24"/>
      <c r="W205" s="23"/>
    </row>
    <row r="206" spans="3:23" ht="11.25" hidden="1" customHeight="1">
      <c r="C206" s="96"/>
      <c r="D206" s="2"/>
      <c r="G206" s="2"/>
      <c r="H206" s="2"/>
      <c r="N206" s="2"/>
      <c r="O206" s="2"/>
      <c r="P206" s="97"/>
      <c r="Q206" s="23"/>
      <c r="R206" s="22"/>
      <c r="S206" s="22"/>
      <c r="T206" s="2">
        <v>91</v>
      </c>
      <c r="U206" s="23"/>
      <c r="V206" s="24"/>
      <c r="W206" s="23"/>
    </row>
    <row r="207" spans="3:23" ht="11.25" hidden="1" customHeight="1">
      <c r="C207" s="96"/>
      <c r="D207" s="2"/>
      <c r="G207" s="2"/>
      <c r="H207" s="2"/>
      <c r="N207" s="2"/>
      <c r="O207" s="2"/>
      <c r="P207" s="97"/>
      <c r="Q207" s="23"/>
      <c r="R207" s="22"/>
      <c r="S207" s="22"/>
      <c r="T207" s="2">
        <v>92</v>
      </c>
      <c r="U207" s="23"/>
      <c r="V207" s="24"/>
      <c r="W207" s="23"/>
    </row>
    <row r="208" spans="3:23" ht="11.25" hidden="1" customHeight="1">
      <c r="C208" s="96"/>
      <c r="D208" s="2"/>
      <c r="G208" s="2"/>
      <c r="H208" s="2"/>
      <c r="N208" s="2"/>
      <c r="O208" s="2"/>
      <c r="P208" s="97"/>
      <c r="Q208" s="23"/>
      <c r="R208" s="22"/>
      <c r="S208" s="22"/>
      <c r="T208" s="2">
        <v>91</v>
      </c>
      <c r="U208" s="23"/>
      <c r="V208" s="24"/>
      <c r="W208" s="23"/>
    </row>
    <row r="209" spans="3:23" ht="11.25" hidden="1" customHeight="1">
      <c r="C209" s="96"/>
      <c r="D209" s="2"/>
      <c r="G209" s="2"/>
      <c r="H209" s="2"/>
      <c r="N209" s="2"/>
      <c r="O209" s="2"/>
      <c r="P209" s="97"/>
      <c r="Q209" s="23"/>
      <c r="R209" s="22"/>
      <c r="S209" s="22"/>
      <c r="T209" s="2">
        <v>92</v>
      </c>
      <c r="U209" s="23"/>
      <c r="V209" s="24"/>
      <c r="W209" s="23"/>
    </row>
    <row r="210" spans="3:23" ht="11.25" hidden="1" customHeight="1">
      <c r="C210" s="96"/>
      <c r="D210" s="2"/>
      <c r="G210" s="2"/>
      <c r="H210" s="2"/>
      <c r="N210" s="2"/>
      <c r="O210" s="2"/>
      <c r="P210" s="97"/>
      <c r="Q210" s="23"/>
      <c r="R210" s="22"/>
      <c r="S210" s="22"/>
      <c r="T210" s="2">
        <v>91</v>
      </c>
      <c r="U210" s="23"/>
      <c r="V210" s="24"/>
      <c r="W210" s="23"/>
    </row>
    <row r="211" spans="3:23" ht="11.25" hidden="1" customHeight="1">
      <c r="C211" s="96"/>
      <c r="D211" s="2"/>
      <c r="G211" s="2"/>
      <c r="H211" s="2"/>
      <c r="N211" s="2"/>
      <c r="O211" s="2"/>
      <c r="P211" s="97"/>
      <c r="Q211" s="23"/>
      <c r="R211" s="22"/>
      <c r="S211" s="22"/>
      <c r="T211" s="2">
        <v>92</v>
      </c>
      <c r="U211" s="23"/>
      <c r="V211" s="24"/>
      <c r="W211" s="23"/>
    </row>
    <row r="212" spans="3:23" ht="11.25" hidden="1" customHeight="1">
      <c r="C212" s="96"/>
      <c r="D212" s="2"/>
      <c r="G212" s="2"/>
      <c r="H212" s="2"/>
      <c r="N212" s="2"/>
      <c r="O212" s="2"/>
      <c r="P212" s="97"/>
      <c r="Q212" s="23"/>
      <c r="R212" s="22"/>
      <c r="S212" s="22"/>
      <c r="T212" s="2">
        <v>91</v>
      </c>
      <c r="U212" s="23"/>
      <c r="V212" s="24"/>
      <c r="W212" s="23"/>
    </row>
    <row r="213" spans="3:23" ht="11.25" hidden="1" customHeight="1">
      <c r="C213" s="96"/>
      <c r="D213" s="2"/>
      <c r="G213" s="2"/>
      <c r="H213" s="2"/>
      <c r="N213" s="2"/>
      <c r="O213" s="2"/>
      <c r="P213" s="97"/>
      <c r="Q213" s="23"/>
      <c r="R213" s="22"/>
      <c r="S213" s="22"/>
      <c r="T213" s="2">
        <v>92</v>
      </c>
      <c r="U213" s="23"/>
      <c r="V213" s="24"/>
      <c r="W213" s="23"/>
    </row>
    <row r="214" spans="3:23" ht="11.25" hidden="1" customHeight="1">
      <c r="C214" s="96"/>
      <c r="D214" s="2"/>
      <c r="G214" s="2"/>
      <c r="H214" s="2"/>
      <c r="N214" s="2"/>
      <c r="O214" s="2"/>
      <c r="P214" s="97"/>
      <c r="Q214" s="23"/>
      <c r="R214" s="22"/>
      <c r="S214" s="22"/>
      <c r="T214" s="2">
        <v>91</v>
      </c>
      <c r="U214" s="23"/>
      <c r="V214" s="24"/>
      <c r="W214" s="23"/>
    </row>
    <row r="215" spans="3:23" ht="11.25" hidden="1" customHeight="1">
      <c r="C215" s="96"/>
      <c r="D215" s="2"/>
      <c r="G215" s="2"/>
      <c r="H215" s="2"/>
      <c r="N215" s="2"/>
      <c r="O215" s="2"/>
      <c r="P215" s="97"/>
      <c r="Q215" s="23"/>
      <c r="R215" s="22"/>
      <c r="S215" s="22"/>
      <c r="T215" s="2">
        <v>92</v>
      </c>
      <c r="U215" s="23"/>
      <c r="V215" s="24"/>
      <c r="W215" s="23"/>
    </row>
    <row r="216" spans="3:23" ht="11.25" hidden="1" customHeight="1">
      <c r="C216" s="96"/>
      <c r="D216" s="2"/>
      <c r="G216" s="2"/>
      <c r="H216" s="2"/>
      <c r="N216" s="2"/>
      <c r="O216" s="2"/>
      <c r="P216" s="97"/>
      <c r="Q216" s="23"/>
      <c r="R216" s="22"/>
      <c r="S216" s="22"/>
      <c r="T216" s="2">
        <v>91</v>
      </c>
      <c r="U216" s="23"/>
      <c r="V216" s="24"/>
      <c r="W216" s="23"/>
    </row>
    <row r="217" spans="3:23" ht="11.25" hidden="1" customHeight="1">
      <c r="C217" s="96"/>
      <c r="D217" s="2"/>
      <c r="G217" s="2"/>
      <c r="H217" s="2"/>
      <c r="N217" s="2"/>
      <c r="O217" s="2"/>
      <c r="P217" s="97"/>
      <c r="Q217" s="23"/>
      <c r="R217" s="22"/>
      <c r="S217" s="22"/>
      <c r="T217" s="2">
        <v>92</v>
      </c>
      <c r="U217" s="23"/>
      <c r="V217" s="24"/>
      <c r="W217" s="23"/>
    </row>
    <row r="218" spans="3:23" ht="11.25" hidden="1" customHeight="1">
      <c r="C218" s="96"/>
      <c r="D218" s="2"/>
      <c r="G218" s="2"/>
      <c r="H218" s="2"/>
      <c r="N218" s="2"/>
      <c r="O218" s="2"/>
      <c r="P218" s="97"/>
      <c r="Q218" s="23"/>
      <c r="R218" s="22"/>
      <c r="S218" s="22"/>
      <c r="T218" s="2">
        <v>91</v>
      </c>
      <c r="U218" s="23"/>
      <c r="V218" s="24"/>
      <c r="W218" s="23"/>
    </row>
    <row r="219" spans="3:23" ht="11.25" hidden="1" customHeight="1">
      <c r="C219" s="96"/>
      <c r="D219" s="2"/>
      <c r="G219" s="2"/>
      <c r="H219" s="2"/>
      <c r="N219" s="2"/>
      <c r="O219" s="2"/>
      <c r="P219" s="97"/>
      <c r="Q219" s="23"/>
      <c r="R219" s="22"/>
      <c r="S219" s="22"/>
      <c r="T219" s="2">
        <v>92</v>
      </c>
      <c r="U219" s="23"/>
      <c r="V219" s="24"/>
      <c r="W219" s="23"/>
    </row>
    <row r="220" spans="3:23" ht="11.25" hidden="1" customHeight="1">
      <c r="C220" s="96"/>
      <c r="D220" s="2"/>
      <c r="G220" s="2"/>
      <c r="H220" s="2"/>
      <c r="N220" s="2"/>
      <c r="O220" s="2"/>
      <c r="P220" s="97"/>
      <c r="Q220" s="23"/>
      <c r="R220" s="22"/>
      <c r="S220" s="22"/>
      <c r="T220" s="2">
        <v>91</v>
      </c>
      <c r="U220" s="23"/>
      <c r="V220" s="24"/>
      <c r="W220" s="23"/>
    </row>
    <row r="221" spans="3:23" ht="11.25" hidden="1" customHeight="1">
      <c r="C221" s="96"/>
      <c r="D221" s="2"/>
      <c r="G221" s="2"/>
      <c r="H221" s="2"/>
      <c r="N221" s="2"/>
      <c r="O221" s="2"/>
      <c r="P221" s="97"/>
      <c r="Q221" s="23"/>
      <c r="R221" s="22"/>
      <c r="S221" s="22"/>
      <c r="T221" s="2">
        <v>92</v>
      </c>
      <c r="U221" s="23"/>
      <c r="V221" s="24"/>
      <c r="W221" s="23"/>
    </row>
    <row r="222" spans="3:23" ht="11.25" hidden="1" customHeight="1">
      <c r="C222" s="96"/>
      <c r="D222" s="2"/>
      <c r="G222" s="2"/>
      <c r="H222" s="2"/>
      <c r="N222" s="2"/>
      <c r="O222" s="2"/>
      <c r="P222" s="97"/>
      <c r="Q222" s="23"/>
      <c r="R222" s="22"/>
      <c r="S222" s="22"/>
      <c r="T222" s="2">
        <v>91</v>
      </c>
      <c r="U222" s="23"/>
      <c r="V222" s="24"/>
      <c r="W222" s="23"/>
    </row>
    <row r="223" spans="3:23" ht="11.25" hidden="1" customHeight="1">
      <c r="C223" s="96"/>
      <c r="D223" s="2"/>
      <c r="G223" s="2"/>
      <c r="H223" s="2"/>
      <c r="N223" s="2"/>
      <c r="O223" s="2"/>
      <c r="P223" s="97"/>
      <c r="Q223" s="23"/>
      <c r="R223" s="22"/>
      <c r="S223" s="22"/>
      <c r="T223" s="2">
        <v>92</v>
      </c>
      <c r="U223" s="23"/>
      <c r="V223" s="24"/>
      <c r="W223" s="23"/>
    </row>
    <row r="224" spans="3:23" ht="11.25" hidden="1" customHeight="1">
      <c r="C224" s="96"/>
      <c r="D224" s="2"/>
      <c r="G224" s="2"/>
      <c r="H224" s="2"/>
      <c r="N224" s="2"/>
      <c r="O224" s="2"/>
      <c r="P224" s="97"/>
      <c r="Q224" s="23"/>
      <c r="R224" s="22"/>
      <c r="S224" s="22"/>
      <c r="T224" s="2">
        <v>91</v>
      </c>
      <c r="U224" s="23"/>
      <c r="V224" s="24"/>
      <c r="W224" s="23"/>
    </row>
    <row r="225" spans="3:23" ht="11.25" hidden="1" customHeight="1">
      <c r="C225" s="96"/>
      <c r="D225" s="2"/>
      <c r="G225" s="2"/>
      <c r="H225" s="2"/>
      <c r="N225" s="2"/>
      <c r="O225" s="2"/>
      <c r="P225" s="97"/>
      <c r="Q225" s="23"/>
      <c r="R225" s="22"/>
      <c r="S225" s="22"/>
      <c r="T225" s="2">
        <v>92</v>
      </c>
      <c r="U225" s="23"/>
      <c r="V225" s="24"/>
      <c r="W225" s="23"/>
    </row>
    <row r="226" spans="3:23" ht="11.25" hidden="1" customHeight="1">
      <c r="C226" s="96"/>
      <c r="D226" s="2"/>
      <c r="G226" s="2"/>
      <c r="H226" s="2"/>
      <c r="N226" s="2"/>
      <c r="O226" s="2"/>
      <c r="P226" s="97"/>
      <c r="Q226" s="23"/>
      <c r="R226" s="22"/>
      <c r="S226" s="22"/>
      <c r="T226" s="2">
        <v>91</v>
      </c>
      <c r="U226" s="23"/>
      <c r="V226" s="24"/>
      <c r="W226" s="23"/>
    </row>
    <row r="227" spans="3:23" ht="11.25" hidden="1" customHeight="1">
      <c r="C227" s="96"/>
      <c r="D227" s="2"/>
      <c r="G227" s="2"/>
      <c r="H227" s="2"/>
      <c r="N227" s="2"/>
      <c r="O227" s="2"/>
      <c r="P227" s="97"/>
      <c r="Q227" s="23"/>
      <c r="R227" s="22"/>
      <c r="S227" s="22"/>
      <c r="T227" s="2">
        <v>92</v>
      </c>
      <c r="U227" s="23"/>
      <c r="V227" s="24"/>
      <c r="W227" s="23"/>
    </row>
    <row r="228" spans="3:23" ht="11.25" hidden="1" customHeight="1">
      <c r="C228" s="96"/>
      <c r="D228" s="2"/>
      <c r="G228" s="2"/>
      <c r="H228" s="2"/>
      <c r="N228" s="2"/>
      <c r="O228" s="2"/>
      <c r="P228" s="97"/>
      <c r="Q228" s="23"/>
      <c r="R228" s="22"/>
      <c r="S228" s="22"/>
      <c r="T228" s="2">
        <v>91</v>
      </c>
      <c r="U228" s="23"/>
      <c r="V228" s="24"/>
      <c r="W228" s="23"/>
    </row>
    <row r="229" spans="3:23" ht="11.25" hidden="1" customHeight="1">
      <c r="C229" s="96"/>
      <c r="D229" s="2"/>
      <c r="G229" s="2"/>
      <c r="H229" s="2"/>
      <c r="N229" s="2"/>
      <c r="O229" s="2"/>
      <c r="P229" s="97"/>
      <c r="Q229" s="23"/>
      <c r="R229" s="22"/>
      <c r="S229" s="22"/>
      <c r="T229" s="2">
        <v>92</v>
      </c>
      <c r="U229" s="23"/>
      <c r="V229" s="24"/>
      <c r="W229" s="23"/>
    </row>
    <row r="230" spans="3:23" ht="11.25" hidden="1" customHeight="1">
      <c r="C230" s="96"/>
      <c r="D230" s="2"/>
      <c r="G230" s="2"/>
      <c r="H230" s="2"/>
      <c r="N230" s="2"/>
      <c r="O230" s="2"/>
      <c r="P230" s="97"/>
      <c r="Q230" s="23"/>
      <c r="R230" s="22"/>
      <c r="S230" s="22"/>
      <c r="T230" s="2">
        <v>91</v>
      </c>
      <c r="U230" s="23"/>
      <c r="V230" s="24"/>
      <c r="W230" s="23"/>
    </row>
    <row r="231" spans="3:23" ht="11.25" hidden="1" customHeight="1">
      <c r="C231" s="96"/>
      <c r="D231" s="2"/>
      <c r="G231" s="2"/>
      <c r="H231" s="2"/>
      <c r="N231" s="2"/>
      <c r="O231" s="2"/>
      <c r="P231" s="97"/>
      <c r="Q231" s="23"/>
      <c r="R231" s="22"/>
      <c r="S231" s="22"/>
      <c r="T231" s="2">
        <v>92</v>
      </c>
      <c r="U231" s="23"/>
      <c r="V231" s="24"/>
      <c r="W231" s="23"/>
    </row>
    <row r="232" spans="3:23" ht="11.25" hidden="1" customHeight="1">
      <c r="C232" s="96"/>
      <c r="D232" s="2"/>
      <c r="G232" s="2"/>
      <c r="H232" s="2"/>
      <c r="N232" s="2"/>
      <c r="O232" s="2"/>
      <c r="P232" s="97"/>
      <c r="Q232" s="23"/>
      <c r="R232" s="22"/>
      <c r="S232" s="22"/>
      <c r="T232" s="2">
        <v>91</v>
      </c>
      <c r="U232" s="23"/>
      <c r="V232" s="24"/>
      <c r="W232" s="23"/>
    </row>
    <row r="233" spans="3:23" ht="11.25" hidden="1" customHeight="1">
      <c r="C233" s="96"/>
      <c r="D233" s="2"/>
      <c r="G233" s="2"/>
      <c r="H233" s="2"/>
      <c r="N233" s="2"/>
      <c r="O233" s="2"/>
      <c r="P233" s="97"/>
      <c r="Q233" s="23"/>
      <c r="R233" s="22"/>
      <c r="S233" s="22"/>
      <c r="T233" s="2">
        <v>92</v>
      </c>
      <c r="U233" s="23"/>
      <c r="V233" s="24"/>
      <c r="W233" s="23"/>
    </row>
    <row r="234" spans="3:23" ht="11.25" hidden="1" customHeight="1">
      <c r="C234" s="96"/>
      <c r="D234" s="2"/>
      <c r="G234" s="2"/>
      <c r="H234" s="2"/>
      <c r="N234" s="2"/>
      <c r="O234" s="2"/>
      <c r="P234" s="97"/>
      <c r="Q234" s="23"/>
      <c r="R234" s="22"/>
      <c r="S234" s="22"/>
      <c r="T234" s="2">
        <v>91</v>
      </c>
      <c r="U234" s="23"/>
      <c r="V234" s="24"/>
      <c r="W234" s="23"/>
    </row>
    <row r="235" spans="3:23" ht="11.25" hidden="1" customHeight="1">
      <c r="C235" s="96"/>
      <c r="D235" s="2"/>
      <c r="G235" s="2"/>
      <c r="H235" s="2"/>
      <c r="N235" s="2"/>
      <c r="O235" s="2"/>
      <c r="P235" s="97"/>
      <c r="Q235" s="23"/>
      <c r="R235" s="22"/>
      <c r="S235" s="22"/>
      <c r="T235" s="2">
        <v>92</v>
      </c>
      <c r="U235" s="23"/>
      <c r="V235" s="24"/>
      <c r="W235" s="23"/>
    </row>
    <row r="236" spans="3:23" ht="11.25" hidden="1" customHeight="1">
      <c r="C236" s="96"/>
      <c r="D236" s="2"/>
      <c r="G236" s="2"/>
      <c r="H236" s="2"/>
      <c r="N236" s="2"/>
      <c r="O236" s="2"/>
      <c r="P236" s="97"/>
      <c r="Q236" s="23"/>
      <c r="R236" s="22"/>
      <c r="S236" s="22"/>
      <c r="T236" s="2">
        <v>91</v>
      </c>
      <c r="U236" s="23"/>
      <c r="V236" s="24"/>
      <c r="W236" s="23"/>
    </row>
    <row r="237" spans="3:23" ht="11.25" hidden="1" customHeight="1">
      <c r="C237" s="96"/>
      <c r="D237" s="2"/>
      <c r="G237" s="2"/>
      <c r="H237" s="2"/>
      <c r="N237" s="2"/>
      <c r="O237" s="2"/>
      <c r="P237" s="97"/>
      <c r="Q237" s="23"/>
      <c r="R237" s="22"/>
      <c r="S237" s="22"/>
      <c r="T237" s="2">
        <v>92</v>
      </c>
      <c r="U237" s="23"/>
      <c r="V237" s="24"/>
      <c r="W237" s="23"/>
    </row>
    <row r="238" spans="3:23" ht="11.25" hidden="1" customHeight="1">
      <c r="C238" s="96"/>
      <c r="D238" s="2"/>
      <c r="G238" s="2"/>
      <c r="H238" s="2"/>
      <c r="N238" s="2"/>
      <c r="O238" s="2"/>
      <c r="P238" s="97"/>
      <c r="Q238" s="23"/>
      <c r="R238" s="22"/>
      <c r="S238" s="22"/>
      <c r="T238" s="2">
        <v>91</v>
      </c>
      <c r="U238" s="23"/>
      <c r="V238" s="24"/>
      <c r="W238" s="23"/>
    </row>
    <row r="239" spans="3:23" ht="11.25" hidden="1" customHeight="1">
      <c r="C239" s="96"/>
      <c r="D239" s="2"/>
      <c r="G239" s="2"/>
      <c r="H239" s="2"/>
      <c r="N239" s="2"/>
      <c r="O239" s="2"/>
      <c r="P239" s="97"/>
      <c r="Q239" s="23"/>
      <c r="R239" s="22"/>
      <c r="S239" s="22"/>
      <c r="T239" s="2">
        <v>92</v>
      </c>
      <c r="U239" s="23"/>
      <c r="V239" s="24"/>
      <c r="W239" s="23"/>
    </row>
    <row r="240" spans="3:23" ht="11.25" hidden="1" customHeight="1">
      <c r="C240" s="96"/>
      <c r="D240" s="2"/>
      <c r="G240" s="2"/>
      <c r="H240" s="2"/>
      <c r="N240" s="2"/>
      <c r="O240" s="2"/>
      <c r="P240" s="97"/>
      <c r="Q240" s="23"/>
      <c r="R240" s="22"/>
      <c r="S240" s="22"/>
      <c r="T240" s="2">
        <v>91</v>
      </c>
      <c r="U240" s="23"/>
      <c r="V240" s="24"/>
      <c r="W240" s="23"/>
    </row>
    <row r="241" spans="3:23" ht="11.25" hidden="1" customHeight="1">
      <c r="C241" s="96"/>
      <c r="D241" s="2"/>
      <c r="G241" s="2"/>
      <c r="H241" s="2"/>
      <c r="N241" s="2"/>
      <c r="O241" s="2"/>
      <c r="P241" s="97"/>
      <c r="Q241" s="23"/>
      <c r="R241" s="22"/>
      <c r="S241" s="22"/>
      <c r="T241" s="2">
        <v>92</v>
      </c>
      <c r="U241" s="23"/>
      <c r="V241" s="24"/>
      <c r="W241" s="23"/>
    </row>
    <row r="242" spans="3:23" ht="11.25" hidden="1" customHeight="1">
      <c r="C242" s="96"/>
      <c r="D242" s="2"/>
      <c r="G242" s="2"/>
      <c r="H242" s="2"/>
      <c r="N242" s="2"/>
      <c r="O242" s="2"/>
      <c r="P242" s="97"/>
      <c r="Q242" s="23"/>
      <c r="R242" s="22"/>
      <c r="S242" s="22"/>
      <c r="T242" s="2">
        <v>91</v>
      </c>
      <c r="U242" s="23"/>
      <c r="V242" s="24"/>
      <c r="W242" s="23"/>
    </row>
    <row r="243" spans="3:23" ht="11.25" hidden="1" customHeight="1">
      <c r="C243" s="96"/>
      <c r="D243" s="2"/>
      <c r="G243" s="2"/>
      <c r="H243" s="2"/>
      <c r="N243" s="2"/>
      <c r="O243" s="2"/>
      <c r="P243" s="97"/>
      <c r="Q243" s="23"/>
      <c r="R243" s="22"/>
      <c r="S243" s="22"/>
      <c r="T243" s="2">
        <v>92</v>
      </c>
      <c r="U243" s="23"/>
      <c r="V243" s="24"/>
      <c r="W243" s="23"/>
    </row>
    <row r="244" spans="3:23" ht="11.25" hidden="1" customHeight="1">
      <c r="C244" s="96"/>
      <c r="D244" s="2"/>
      <c r="G244" s="2"/>
      <c r="H244" s="2"/>
      <c r="N244" s="2"/>
      <c r="O244" s="2"/>
      <c r="P244" s="97"/>
      <c r="Q244" s="23"/>
      <c r="R244" s="22"/>
      <c r="S244" s="22"/>
      <c r="T244" s="2">
        <v>91</v>
      </c>
      <c r="U244" s="23"/>
      <c r="V244" s="24"/>
      <c r="W244" s="23"/>
    </row>
    <row r="245" spans="3:23" ht="11.25" hidden="1" customHeight="1">
      <c r="C245" s="96"/>
      <c r="D245" s="2"/>
      <c r="G245" s="2"/>
      <c r="H245" s="2"/>
      <c r="N245" s="2"/>
      <c r="O245" s="2"/>
      <c r="P245" s="97"/>
      <c r="Q245" s="23"/>
      <c r="R245" s="22"/>
      <c r="S245" s="22"/>
      <c r="T245" s="2">
        <v>92</v>
      </c>
      <c r="U245" s="23"/>
      <c r="V245" s="24"/>
      <c r="W245" s="23"/>
    </row>
    <row r="246" spans="3:23" ht="11.25" hidden="1" customHeight="1">
      <c r="C246" s="96"/>
      <c r="D246" s="2"/>
      <c r="G246" s="2"/>
      <c r="H246" s="2"/>
      <c r="N246" s="2"/>
      <c r="O246" s="2"/>
      <c r="P246" s="97"/>
      <c r="Q246" s="23"/>
      <c r="R246" s="22"/>
      <c r="S246" s="22"/>
      <c r="T246" s="2">
        <v>91</v>
      </c>
      <c r="U246" s="23"/>
      <c r="V246" s="24"/>
      <c r="W246" s="23"/>
    </row>
    <row r="247" spans="3:23" ht="11.25" hidden="1" customHeight="1">
      <c r="C247" s="96"/>
      <c r="D247" s="2"/>
      <c r="G247" s="2"/>
      <c r="H247" s="2"/>
      <c r="N247" s="2"/>
      <c r="O247" s="2"/>
      <c r="P247" s="97"/>
      <c r="Q247" s="23"/>
      <c r="R247" s="22"/>
      <c r="S247" s="22"/>
      <c r="T247" s="2">
        <v>92</v>
      </c>
      <c r="U247" s="23"/>
      <c r="V247" s="24"/>
      <c r="W247" s="23"/>
    </row>
    <row r="248" spans="3:23" ht="11.25" hidden="1" customHeight="1">
      <c r="C248" s="96"/>
      <c r="D248" s="2"/>
      <c r="G248" s="2"/>
      <c r="H248" s="2"/>
      <c r="N248" s="2"/>
      <c r="O248" s="2"/>
      <c r="P248" s="97"/>
      <c r="Q248" s="23"/>
      <c r="R248" s="22"/>
      <c r="S248" s="22"/>
      <c r="T248" s="2">
        <v>91</v>
      </c>
      <c r="U248" s="23"/>
      <c r="V248" s="24"/>
      <c r="W248" s="23"/>
    </row>
    <row r="249" spans="3:23" ht="11.25" hidden="1" customHeight="1">
      <c r="C249" s="96"/>
      <c r="D249" s="2"/>
      <c r="G249" s="2"/>
      <c r="H249" s="2"/>
      <c r="N249" s="2"/>
      <c r="O249" s="2"/>
      <c r="P249" s="97"/>
      <c r="Q249" s="23"/>
      <c r="R249" s="22"/>
      <c r="S249" s="22"/>
      <c r="T249" s="2">
        <v>92</v>
      </c>
      <c r="U249" s="23"/>
      <c r="V249" s="24"/>
      <c r="W249" s="23"/>
    </row>
    <row r="250" spans="3:23" ht="11.25" hidden="1" customHeight="1">
      <c r="C250" s="96"/>
      <c r="D250" s="2"/>
      <c r="G250" s="2"/>
      <c r="H250" s="2"/>
      <c r="N250" s="2"/>
      <c r="O250" s="2"/>
      <c r="P250" s="97"/>
      <c r="Q250" s="23"/>
      <c r="R250" s="22"/>
      <c r="S250" s="22"/>
      <c r="T250" s="2">
        <v>91</v>
      </c>
      <c r="U250" s="23"/>
      <c r="V250" s="24"/>
      <c r="W250" s="23"/>
    </row>
    <row r="251" spans="3:23" ht="11.25" hidden="1" customHeight="1">
      <c r="C251" s="96"/>
      <c r="D251" s="2"/>
      <c r="G251" s="2"/>
      <c r="H251" s="2"/>
      <c r="N251" s="2"/>
      <c r="O251" s="2"/>
      <c r="P251" s="97"/>
      <c r="Q251" s="23"/>
      <c r="R251" s="22"/>
      <c r="S251" s="22"/>
      <c r="T251" s="2">
        <v>92</v>
      </c>
      <c r="U251" s="23"/>
      <c r="V251" s="24"/>
      <c r="W251" s="23"/>
    </row>
    <row r="252" spans="3:23" ht="11.25" hidden="1" customHeight="1">
      <c r="C252" s="96"/>
      <c r="D252" s="2"/>
      <c r="G252" s="2"/>
      <c r="H252" s="2"/>
      <c r="N252" s="2"/>
      <c r="O252" s="2"/>
      <c r="P252" s="97"/>
      <c r="Q252" s="23"/>
      <c r="R252" s="22"/>
      <c r="S252" s="22"/>
      <c r="T252" s="2">
        <v>91</v>
      </c>
      <c r="U252" s="23"/>
      <c r="V252" s="24"/>
      <c r="W252" s="23"/>
    </row>
    <row r="253" spans="3:23" ht="11.25" hidden="1" customHeight="1">
      <c r="C253" s="96"/>
      <c r="D253" s="2"/>
      <c r="G253" s="2"/>
      <c r="H253" s="2"/>
      <c r="N253" s="2"/>
      <c r="O253" s="2"/>
      <c r="P253" s="97"/>
      <c r="Q253" s="23"/>
      <c r="R253" s="22"/>
      <c r="S253" s="22"/>
      <c r="T253" s="2">
        <v>92</v>
      </c>
      <c r="U253" s="23"/>
      <c r="V253" s="24"/>
      <c r="W253" s="23"/>
    </row>
    <row r="254" spans="3:23" ht="11.25" hidden="1" customHeight="1">
      <c r="C254" s="96"/>
      <c r="D254" s="2"/>
      <c r="G254" s="2"/>
      <c r="H254" s="2"/>
      <c r="N254" s="2"/>
      <c r="O254" s="2"/>
      <c r="P254" s="97"/>
      <c r="Q254" s="23"/>
      <c r="R254" s="22"/>
      <c r="S254" s="22"/>
      <c r="T254" s="2">
        <v>91</v>
      </c>
      <c r="U254" s="23"/>
      <c r="V254" s="24"/>
      <c r="W254" s="23"/>
    </row>
    <row r="255" spans="3:23" ht="11.25" hidden="1" customHeight="1">
      <c r="C255" s="96"/>
      <c r="D255" s="2"/>
      <c r="G255" s="2"/>
      <c r="H255" s="2"/>
      <c r="N255" s="2"/>
      <c r="O255" s="2"/>
      <c r="P255" s="97"/>
      <c r="Q255" s="23"/>
      <c r="R255" s="22"/>
      <c r="S255" s="22"/>
      <c r="T255" s="2">
        <v>92</v>
      </c>
      <c r="U255" s="23"/>
      <c r="V255" s="24"/>
      <c r="W255" s="23"/>
    </row>
    <row r="256" spans="3:23" ht="11.25" hidden="1" customHeight="1">
      <c r="C256" s="96"/>
      <c r="D256" s="2"/>
      <c r="G256" s="2"/>
      <c r="H256" s="2"/>
      <c r="N256" s="2"/>
      <c r="O256" s="2"/>
      <c r="P256" s="97"/>
      <c r="Q256" s="23"/>
      <c r="R256" s="22"/>
      <c r="S256" s="22"/>
      <c r="T256" s="2">
        <v>91</v>
      </c>
      <c r="U256" s="23"/>
      <c r="V256" s="24"/>
      <c r="W256" s="23"/>
    </row>
    <row r="257" spans="3:23" ht="11.25" hidden="1" customHeight="1">
      <c r="C257" s="96"/>
      <c r="D257" s="2"/>
      <c r="G257" s="2"/>
      <c r="H257" s="2"/>
      <c r="N257" s="2"/>
      <c r="O257" s="2"/>
      <c r="P257" s="97"/>
      <c r="Q257" s="23"/>
      <c r="R257" s="22"/>
      <c r="S257" s="22"/>
      <c r="T257" s="2">
        <v>92</v>
      </c>
      <c r="U257" s="23"/>
      <c r="V257" s="24"/>
      <c r="W257" s="23"/>
    </row>
    <row r="258" spans="3:23" ht="11.25" hidden="1" customHeight="1">
      <c r="C258" s="96"/>
      <c r="D258" s="2"/>
      <c r="G258" s="2"/>
      <c r="H258" s="2"/>
      <c r="N258" s="2"/>
      <c r="O258" s="2"/>
      <c r="P258" s="97"/>
      <c r="Q258" s="23"/>
      <c r="R258" s="22"/>
      <c r="S258" s="22"/>
      <c r="T258" s="2">
        <v>91</v>
      </c>
      <c r="U258" s="23"/>
      <c r="V258" s="24"/>
      <c r="W258" s="23"/>
    </row>
    <row r="259" spans="3:23" ht="11.25" hidden="1" customHeight="1">
      <c r="C259" s="96"/>
      <c r="D259" s="2"/>
      <c r="G259" s="2"/>
      <c r="H259" s="2"/>
      <c r="N259" s="2"/>
      <c r="O259" s="2"/>
      <c r="P259" s="97"/>
      <c r="Q259" s="23"/>
      <c r="R259" s="22"/>
      <c r="S259" s="22"/>
      <c r="T259" s="2">
        <v>92</v>
      </c>
      <c r="U259" s="23"/>
      <c r="V259" s="24"/>
      <c r="W259" s="23"/>
    </row>
    <row r="260" spans="3:23" ht="11.25" hidden="1" customHeight="1">
      <c r="C260" s="96"/>
      <c r="D260" s="2"/>
      <c r="G260" s="2"/>
      <c r="H260" s="2"/>
      <c r="N260" s="2"/>
      <c r="O260" s="2"/>
      <c r="P260" s="97"/>
      <c r="Q260" s="23"/>
      <c r="R260" s="22"/>
      <c r="S260" s="22"/>
      <c r="T260" s="2">
        <v>91</v>
      </c>
      <c r="U260" s="23"/>
      <c r="V260" s="24"/>
      <c r="W260" s="23"/>
    </row>
    <row r="261" spans="3:23" ht="11.25" hidden="1" customHeight="1">
      <c r="C261" s="96"/>
      <c r="D261" s="2"/>
      <c r="G261" s="2"/>
      <c r="H261" s="2"/>
      <c r="N261" s="2"/>
      <c r="O261" s="2"/>
      <c r="P261" s="97"/>
      <c r="Q261" s="23"/>
      <c r="R261" s="22"/>
      <c r="S261" s="22"/>
      <c r="T261" s="2">
        <v>92</v>
      </c>
      <c r="U261" s="23"/>
      <c r="V261" s="24"/>
      <c r="W261" s="23"/>
    </row>
    <row r="262" spans="3:23" ht="11.25" hidden="1" customHeight="1">
      <c r="C262" s="96"/>
      <c r="D262" s="2"/>
      <c r="G262" s="2"/>
      <c r="H262" s="2"/>
      <c r="N262" s="2"/>
      <c r="O262" s="2"/>
      <c r="P262" s="97"/>
      <c r="Q262" s="23"/>
      <c r="R262" s="22"/>
      <c r="S262" s="22"/>
      <c r="T262" s="2">
        <v>91</v>
      </c>
      <c r="U262" s="23"/>
      <c r="V262" s="24"/>
      <c r="W262" s="23"/>
    </row>
    <row r="263" spans="3:23" ht="11.25" hidden="1" customHeight="1">
      <c r="C263" s="96"/>
      <c r="D263" s="2"/>
      <c r="G263" s="2"/>
      <c r="H263" s="2"/>
      <c r="N263" s="2"/>
      <c r="O263" s="2"/>
      <c r="P263" s="97"/>
      <c r="Q263" s="23"/>
      <c r="R263" s="22"/>
      <c r="S263" s="22"/>
      <c r="T263" s="2">
        <v>92</v>
      </c>
      <c r="U263" s="23"/>
      <c r="V263" s="24"/>
      <c r="W263" s="23"/>
    </row>
    <row r="264" spans="3:23" ht="11.25" hidden="1" customHeight="1">
      <c r="C264" s="96"/>
      <c r="D264" s="2"/>
      <c r="G264" s="2"/>
      <c r="H264" s="2"/>
      <c r="N264" s="2"/>
      <c r="O264" s="2"/>
      <c r="P264" s="97"/>
      <c r="Q264" s="23"/>
      <c r="R264" s="22"/>
      <c r="S264" s="22"/>
      <c r="T264" s="2">
        <v>91</v>
      </c>
      <c r="U264" s="23"/>
      <c r="V264" s="24"/>
      <c r="W264" s="23"/>
    </row>
    <row r="265" spans="3:23" ht="11.25" hidden="1" customHeight="1">
      <c r="C265" s="96"/>
      <c r="D265" s="2"/>
      <c r="G265" s="2"/>
      <c r="H265" s="2"/>
      <c r="N265" s="2"/>
      <c r="O265" s="2"/>
      <c r="P265" s="97"/>
      <c r="Q265" s="23"/>
      <c r="R265" s="22"/>
      <c r="S265" s="22"/>
      <c r="T265" s="2">
        <v>92</v>
      </c>
      <c r="U265" s="23"/>
      <c r="V265" s="24"/>
      <c r="W265" s="23"/>
    </row>
    <row r="266" spans="3:23" ht="11.25" hidden="1" customHeight="1">
      <c r="C266" s="96"/>
      <c r="D266" s="2"/>
      <c r="G266" s="2"/>
      <c r="H266" s="2"/>
      <c r="N266" s="2"/>
      <c r="O266" s="2"/>
      <c r="P266" s="97"/>
      <c r="Q266" s="23"/>
      <c r="R266" s="22"/>
      <c r="S266" s="22"/>
      <c r="T266" s="2">
        <v>91</v>
      </c>
      <c r="U266" s="23"/>
      <c r="V266" s="24"/>
      <c r="W266" s="23"/>
    </row>
    <row r="267" spans="3:23" ht="11.25" hidden="1" customHeight="1">
      <c r="C267" s="96"/>
      <c r="D267" s="2"/>
      <c r="G267" s="2"/>
      <c r="H267" s="2"/>
      <c r="N267" s="2"/>
      <c r="O267" s="2"/>
      <c r="P267" s="97"/>
      <c r="Q267" s="23"/>
      <c r="R267" s="22"/>
      <c r="S267" s="22"/>
      <c r="T267" s="2">
        <v>92</v>
      </c>
      <c r="U267" s="23"/>
      <c r="V267" s="24"/>
      <c r="W267" s="23"/>
    </row>
    <row r="268" spans="3:23" ht="11.25" hidden="1" customHeight="1">
      <c r="C268" s="96"/>
      <c r="D268" s="2"/>
      <c r="G268" s="2"/>
      <c r="H268" s="2"/>
      <c r="N268" s="2"/>
      <c r="O268" s="2"/>
      <c r="P268" s="97"/>
      <c r="Q268" s="23"/>
      <c r="R268" s="22"/>
      <c r="S268" s="22"/>
      <c r="T268" s="2">
        <v>91</v>
      </c>
      <c r="U268" s="23"/>
      <c r="V268" s="24"/>
      <c r="W268" s="23"/>
    </row>
    <row r="269" spans="3:23" ht="11.25" hidden="1" customHeight="1">
      <c r="C269" s="96"/>
      <c r="D269" s="2"/>
      <c r="G269" s="2"/>
      <c r="H269" s="2"/>
      <c r="N269" s="2"/>
      <c r="O269" s="2"/>
      <c r="P269" s="97"/>
      <c r="Q269" s="23"/>
      <c r="R269" s="22"/>
      <c r="S269" s="22"/>
      <c r="T269" s="2">
        <v>92</v>
      </c>
      <c r="U269" s="23"/>
      <c r="V269" s="24"/>
      <c r="W269" s="23"/>
    </row>
    <row r="270" spans="3:23" ht="11.25" hidden="1" customHeight="1">
      <c r="C270" s="96"/>
      <c r="D270" s="2"/>
      <c r="G270" s="2"/>
      <c r="H270" s="2"/>
      <c r="N270" s="2"/>
      <c r="O270" s="2"/>
      <c r="P270" s="97"/>
      <c r="Q270" s="23"/>
      <c r="R270" s="22"/>
      <c r="S270" s="22"/>
      <c r="T270" s="2">
        <v>91</v>
      </c>
      <c r="U270" s="23"/>
      <c r="V270" s="24"/>
      <c r="W270" s="23"/>
    </row>
    <row r="271" spans="3:23" ht="11.25" hidden="1" customHeight="1">
      <c r="C271" s="96"/>
      <c r="D271" s="2"/>
      <c r="G271" s="2"/>
      <c r="H271" s="2"/>
      <c r="N271" s="2"/>
      <c r="O271" s="2"/>
      <c r="P271" s="97"/>
      <c r="Q271" s="23"/>
      <c r="R271" s="22"/>
      <c r="S271" s="22"/>
      <c r="T271" s="2">
        <v>92</v>
      </c>
      <c r="U271" s="23"/>
      <c r="V271" s="24"/>
      <c r="W271" s="23"/>
    </row>
    <row r="272" spans="3:23" ht="11.25" hidden="1" customHeight="1">
      <c r="C272" s="96"/>
      <c r="D272" s="2"/>
      <c r="G272" s="2"/>
      <c r="H272" s="2"/>
      <c r="N272" s="2"/>
      <c r="O272" s="2"/>
      <c r="P272" s="97"/>
      <c r="Q272" s="23"/>
      <c r="R272" s="22"/>
      <c r="S272" s="22"/>
      <c r="T272" s="2">
        <v>91</v>
      </c>
      <c r="U272" s="23"/>
      <c r="V272" s="24"/>
      <c r="W272" s="23"/>
    </row>
    <row r="273" spans="3:23" ht="11.25" hidden="1" customHeight="1">
      <c r="C273" s="96"/>
      <c r="D273" s="2"/>
      <c r="G273" s="2"/>
      <c r="H273" s="2"/>
      <c r="N273" s="2"/>
      <c r="O273" s="2"/>
      <c r="P273" s="97"/>
      <c r="Q273" s="23"/>
      <c r="R273" s="22"/>
      <c r="S273" s="22"/>
      <c r="T273" s="2">
        <v>92</v>
      </c>
      <c r="U273" s="23"/>
      <c r="V273" s="24"/>
      <c r="W273" s="23"/>
    </row>
    <row r="274" spans="3:23" ht="11.25" hidden="1" customHeight="1">
      <c r="C274" s="96"/>
      <c r="D274" s="2"/>
      <c r="G274" s="2"/>
      <c r="H274" s="2"/>
      <c r="N274" s="2"/>
      <c r="O274" s="2"/>
      <c r="P274" s="97"/>
      <c r="Q274" s="23"/>
      <c r="R274" s="22"/>
      <c r="S274" s="22"/>
      <c r="T274" s="2">
        <v>91</v>
      </c>
      <c r="U274" s="23"/>
      <c r="V274" s="24"/>
      <c r="W274" s="23"/>
    </row>
    <row r="275" spans="3:23" ht="11.25" hidden="1" customHeight="1">
      <c r="C275" s="96"/>
      <c r="D275" s="2"/>
      <c r="G275" s="2"/>
      <c r="H275" s="2"/>
      <c r="N275" s="2"/>
      <c r="O275" s="2"/>
      <c r="P275" s="97"/>
      <c r="Q275" s="23"/>
      <c r="R275" s="22"/>
      <c r="S275" s="22"/>
      <c r="T275" s="2">
        <v>92</v>
      </c>
      <c r="U275" s="23"/>
      <c r="V275" s="24"/>
      <c r="W275" s="23"/>
    </row>
    <row r="276" spans="3:23" ht="11.25" hidden="1" customHeight="1">
      <c r="C276" s="96"/>
      <c r="D276" s="2"/>
      <c r="G276" s="2"/>
      <c r="H276" s="2"/>
      <c r="N276" s="2"/>
      <c r="O276" s="2"/>
      <c r="P276" s="97"/>
      <c r="Q276" s="23"/>
      <c r="R276" s="22"/>
      <c r="S276" s="22"/>
      <c r="T276" s="2">
        <v>91</v>
      </c>
      <c r="U276" s="23"/>
      <c r="V276" s="24"/>
      <c r="W276" s="23"/>
    </row>
    <row r="277" spans="3:23" ht="11.25" hidden="1" customHeight="1">
      <c r="C277" s="96"/>
      <c r="D277" s="2"/>
      <c r="G277" s="2"/>
      <c r="H277" s="2"/>
      <c r="N277" s="2"/>
      <c r="O277" s="2"/>
      <c r="P277" s="97"/>
      <c r="Q277" s="23"/>
      <c r="R277" s="22"/>
      <c r="S277" s="22"/>
      <c r="T277" s="2">
        <v>92</v>
      </c>
      <c r="U277" s="23"/>
      <c r="V277" s="24"/>
      <c r="W277" s="23"/>
    </row>
    <row r="278" spans="3:23" ht="11.25" hidden="1" customHeight="1">
      <c r="C278" s="96"/>
      <c r="D278" s="2"/>
      <c r="G278" s="2"/>
      <c r="H278" s="2"/>
      <c r="N278" s="2"/>
      <c r="O278" s="2"/>
      <c r="P278" s="97"/>
      <c r="Q278" s="23"/>
      <c r="R278" s="22"/>
      <c r="S278" s="22"/>
      <c r="T278" s="2">
        <v>91</v>
      </c>
      <c r="U278" s="23"/>
      <c r="V278" s="24"/>
      <c r="W278" s="23"/>
    </row>
    <row r="279" spans="3:23" ht="11.25" hidden="1" customHeight="1">
      <c r="C279" s="96"/>
      <c r="D279" s="2"/>
      <c r="G279" s="2"/>
      <c r="H279" s="2"/>
      <c r="N279" s="2"/>
      <c r="O279" s="2"/>
      <c r="P279" s="97"/>
      <c r="Q279" s="23"/>
      <c r="R279" s="22"/>
      <c r="S279" s="22"/>
      <c r="T279" s="2">
        <v>92</v>
      </c>
      <c r="U279" s="23"/>
      <c r="V279" s="24"/>
      <c r="W279" s="23"/>
    </row>
    <row r="280" spans="3:23" ht="11.25" hidden="1" customHeight="1">
      <c r="C280" s="96"/>
      <c r="D280" s="2"/>
      <c r="G280" s="2"/>
      <c r="H280" s="2"/>
      <c r="N280" s="2"/>
      <c r="O280" s="2"/>
      <c r="P280" s="97"/>
      <c r="Q280" s="23"/>
      <c r="R280" s="22"/>
      <c r="S280" s="22"/>
      <c r="T280" s="2">
        <v>91</v>
      </c>
      <c r="U280" s="23"/>
      <c r="V280" s="24"/>
      <c r="W280" s="23"/>
    </row>
    <row r="281" spans="3:23" ht="11.25" hidden="1" customHeight="1">
      <c r="C281" s="96"/>
      <c r="D281" s="2"/>
      <c r="G281" s="2"/>
      <c r="H281" s="2"/>
      <c r="N281" s="2"/>
      <c r="O281" s="2"/>
      <c r="P281" s="97"/>
      <c r="Q281" s="23"/>
      <c r="R281" s="22"/>
      <c r="S281" s="22"/>
      <c r="T281" s="2">
        <v>92</v>
      </c>
      <c r="U281" s="23"/>
      <c r="V281" s="24"/>
      <c r="W281" s="23"/>
    </row>
    <row r="282" spans="3:23" ht="11.25" hidden="1" customHeight="1">
      <c r="C282" s="96"/>
      <c r="D282" s="2"/>
      <c r="G282" s="2"/>
      <c r="H282" s="2"/>
      <c r="N282" s="2"/>
      <c r="O282" s="2"/>
      <c r="P282" s="97"/>
      <c r="Q282" s="23"/>
      <c r="R282" s="22"/>
      <c r="S282" s="22"/>
      <c r="T282" s="2">
        <v>91</v>
      </c>
      <c r="U282" s="23"/>
      <c r="V282" s="24"/>
      <c r="W282" s="23"/>
    </row>
    <row r="283" spans="3:23" ht="11.25" hidden="1" customHeight="1">
      <c r="C283" s="96"/>
      <c r="D283" s="2"/>
      <c r="G283" s="2"/>
      <c r="H283" s="2"/>
      <c r="N283" s="2"/>
      <c r="O283" s="2"/>
      <c r="P283" s="97"/>
      <c r="Q283" s="23"/>
      <c r="R283" s="22"/>
      <c r="S283" s="22"/>
      <c r="T283" s="2">
        <v>92</v>
      </c>
      <c r="U283" s="23"/>
      <c r="V283" s="24"/>
      <c r="W283" s="23"/>
    </row>
    <row r="284" spans="3:23" ht="11.25" hidden="1" customHeight="1">
      <c r="C284" s="96"/>
      <c r="D284" s="2"/>
      <c r="G284" s="2"/>
      <c r="H284" s="2"/>
      <c r="N284" s="2"/>
      <c r="O284" s="2"/>
      <c r="P284" s="97"/>
      <c r="Q284" s="23"/>
      <c r="R284" s="22"/>
      <c r="S284" s="22"/>
      <c r="T284" s="2">
        <v>91</v>
      </c>
      <c r="U284" s="23"/>
      <c r="V284" s="24"/>
      <c r="W284" s="23"/>
    </row>
    <row r="285" spans="3:23" ht="11.25" hidden="1" customHeight="1">
      <c r="C285" s="96"/>
      <c r="D285" s="2"/>
      <c r="G285" s="2"/>
      <c r="H285" s="2"/>
      <c r="N285" s="2"/>
      <c r="O285" s="2"/>
      <c r="P285" s="97"/>
      <c r="Q285" s="23"/>
      <c r="R285" s="22"/>
      <c r="S285" s="22"/>
      <c r="T285" s="2">
        <v>92</v>
      </c>
      <c r="U285" s="23"/>
      <c r="V285" s="24"/>
      <c r="W285" s="23"/>
    </row>
    <row r="286" spans="3:23" ht="11.25" hidden="1" customHeight="1">
      <c r="C286" s="96"/>
      <c r="D286" s="2"/>
      <c r="G286" s="2"/>
      <c r="H286" s="2"/>
      <c r="N286" s="2"/>
      <c r="O286" s="2"/>
      <c r="P286" s="97"/>
      <c r="Q286" s="23"/>
      <c r="R286" s="22"/>
      <c r="S286" s="22"/>
      <c r="T286" s="2">
        <v>91</v>
      </c>
      <c r="U286" s="23"/>
      <c r="V286" s="24"/>
      <c r="W286" s="23"/>
    </row>
    <row r="287" spans="3:23" ht="11.25" hidden="1" customHeight="1">
      <c r="C287" s="96"/>
      <c r="D287" s="2"/>
      <c r="G287" s="2"/>
      <c r="H287" s="2"/>
      <c r="N287" s="2"/>
      <c r="O287" s="2"/>
      <c r="P287" s="97"/>
      <c r="Q287" s="23"/>
      <c r="R287" s="22"/>
      <c r="S287" s="22"/>
      <c r="T287" s="2">
        <v>92</v>
      </c>
      <c r="U287" s="23"/>
      <c r="V287" s="24"/>
      <c r="W287" s="23"/>
    </row>
    <row r="288" spans="3:23" ht="11.25" hidden="1" customHeight="1">
      <c r="C288" s="96"/>
      <c r="D288" s="2"/>
      <c r="G288" s="2"/>
      <c r="H288" s="2"/>
      <c r="N288" s="2"/>
      <c r="O288" s="2"/>
      <c r="P288" s="97"/>
      <c r="Q288" s="23"/>
      <c r="R288" s="22"/>
      <c r="S288" s="22"/>
      <c r="T288" s="2">
        <v>91</v>
      </c>
      <c r="U288" s="23"/>
      <c r="V288" s="24"/>
      <c r="W288" s="23"/>
    </row>
    <row r="289" spans="3:23" ht="11.25" hidden="1" customHeight="1">
      <c r="C289" s="96"/>
      <c r="D289" s="2"/>
      <c r="G289" s="2"/>
      <c r="H289" s="2"/>
      <c r="N289" s="2"/>
      <c r="O289" s="2"/>
      <c r="P289" s="97"/>
      <c r="Q289" s="23"/>
      <c r="R289" s="22"/>
      <c r="S289" s="22"/>
      <c r="T289" s="2">
        <v>92</v>
      </c>
      <c r="U289" s="23"/>
      <c r="V289" s="24"/>
      <c r="W289" s="23"/>
    </row>
    <row r="290" spans="3:23" ht="11.25" hidden="1" customHeight="1">
      <c r="C290" s="96"/>
      <c r="D290" s="2"/>
      <c r="G290" s="2"/>
      <c r="H290" s="2"/>
      <c r="N290" s="2"/>
      <c r="O290" s="2"/>
      <c r="P290" s="97"/>
      <c r="Q290" s="23"/>
      <c r="R290" s="22"/>
      <c r="S290" s="22"/>
      <c r="T290" s="2">
        <v>91</v>
      </c>
      <c r="U290" s="23"/>
      <c r="V290" s="24"/>
      <c r="W290" s="23"/>
    </row>
    <row r="291" spans="3:23" ht="11.25" hidden="1" customHeight="1">
      <c r="C291" s="96"/>
      <c r="D291" s="2"/>
      <c r="G291" s="2"/>
      <c r="H291" s="2"/>
      <c r="N291" s="2"/>
      <c r="O291" s="2"/>
      <c r="P291" s="97"/>
      <c r="Q291" s="23"/>
      <c r="R291" s="22"/>
      <c r="S291" s="22"/>
      <c r="T291" s="2">
        <v>92</v>
      </c>
      <c r="U291" s="23"/>
      <c r="V291" s="24"/>
      <c r="W291" s="23"/>
    </row>
    <row r="292" spans="3:23" ht="11.25" hidden="1" customHeight="1">
      <c r="C292" s="96"/>
      <c r="D292" s="2"/>
      <c r="G292" s="2"/>
      <c r="H292" s="2"/>
      <c r="N292" s="2"/>
      <c r="O292" s="2"/>
      <c r="P292" s="97"/>
      <c r="Q292" s="23"/>
      <c r="R292" s="22"/>
      <c r="S292" s="22"/>
      <c r="T292" s="2">
        <v>91</v>
      </c>
      <c r="U292" s="23"/>
      <c r="V292" s="24"/>
      <c r="W292" s="23"/>
    </row>
    <row r="293" spans="3:23" ht="11.25" hidden="1" customHeight="1">
      <c r="C293" s="96"/>
      <c r="D293" s="2"/>
      <c r="G293" s="2"/>
      <c r="H293" s="2"/>
      <c r="N293" s="2"/>
      <c r="O293" s="2"/>
      <c r="P293" s="97"/>
      <c r="Q293" s="23"/>
      <c r="R293" s="22"/>
      <c r="S293" s="22"/>
      <c r="T293" s="2">
        <v>92</v>
      </c>
      <c r="U293" s="23"/>
      <c r="V293" s="24"/>
      <c r="W293" s="23"/>
    </row>
    <row r="294" spans="3:23" ht="11.25" hidden="1" customHeight="1">
      <c r="C294" s="96"/>
      <c r="D294" s="2"/>
      <c r="G294" s="2"/>
      <c r="H294" s="2"/>
      <c r="N294" s="2"/>
      <c r="O294" s="2"/>
      <c r="P294" s="97"/>
      <c r="Q294" s="23"/>
      <c r="R294" s="22"/>
      <c r="S294" s="22"/>
      <c r="T294" s="2">
        <v>91</v>
      </c>
      <c r="U294" s="23"/>
      <c r="V294" s="24"/>
      <c r="W294" s="23"/>
    </row>
    <row r="295" spans="3:23" ht="11.25" hidden="1" customHeight="1">
      <c r="C295" s="96"/>
      <c r="D295" s="2"/>
      <c r="G295" s="2"/>
      <c r="H295" s="2"/>
      <c r="N295" s="2"/>
      <c r="O295" s="2"/>
      <c r="P295" s="97"/>
      <c r="Q295" s="23"/>
      <c r="R295" s="22"/>
      <c r="S295" s="22"/>
      <c r="T295" s="2">
        <v>92</v>
      </c>
      <c r="U295" s="23"/>
      <c r="V295" s="24"/>
      <c r="W295" s="23"/>
    </row>
    <row r="296" spans="3:23" ht="11.25" hidden="1" customHeight="1">
      <c r="C296" s="96"/>
      <c r="D296" s="2"/>
      <c r="G296" s="2"/>
      <c r="H296" s="2"/>
      <c r="N296" s="2"/>
      <c r="O296" s="2"/>
      <c r="P296" s="97"/>
      <c r="Q296" s="23"/>
      <c r="R296" s="22"/>
      <c r="S296" s="22"/>
      <c r="T296" s="2">
        <v>91</v>
      </c>
      <c r="U296" s="23"/>
      <c r="V296" s="24"/>
      <c r="W296" s="23"/>
    </row>
    <row r="297" spans="3:23" ht="11.25" hidden="1" customHeight="1">
      <c r="C297" s="96"/>
      <c r="D297" s="2"/>
      <c r="G297" s="2"/>
      <c r="H297" s="2"/>
      <c r="N297" s="2"/>
      <c r="O297" s="2"/>
      <c r="P297" s="97"/>
      <c r="Q297" s="23"/>
      <c r="R297" s="22"/>
      <c r="S297" s="22"/>
      <c r="T297" s="2">
        <v>92</v>
      </c>
      <c r="U297" s="23"/>
      <c r="V297" s="24"/>
      <c r="W297" s="23"/>
    </row>
    <row r="298" spans="3:23" ht="11.25" hidden="1" customHeight="1">
      <c r="C298" s="96"/>
      <c r="D298" s="2"/>
      <c r="G298" s="2"/>
      <c r="H298" s="2"/>
      <c r="N298" s="2"/>
      <c r="O298" s="2"/>
      <c r="P298" s="97"/>
      <c r="Q298" s="23"/>
      <c r="R298" s="22"/>
      <c r="S298" s="22"/>
      <c r="T298" s="2">
        <v>91</v>
      </c>
      <c r="U298" s="23"/>
      <c r="V298" s="24"/>
      <c r="W298" s="23"/>
    </row>
    <row r="299" spans="3:23" ht="11.25" hidden="1" customHeight="1">
      <c r="C299" s="96"/>
      <c r="D299" s="2"/>
      <c r="G299" s="2"/>
      <c r="H299" s="2"/>
      <c r="N299" s="2"/>
      <c r="O299" s="2"/>
      <c r="P299" s="97"/>
      <c r="Q299" s="23"/>
      <c r="R299" s="22"/>
      <c r="S299" s="22"/>
      <c r="T299" s="2">
        <v>92</v>
      </c>
      <c r="U299" s="23"/>
      <c r="V299" s="24"/>
      <c r="W299" s="23"/>
    </row>
    <row r="300" spans="3:23" ht="11.25" hidden="1" customHeight="1">
      <c r="C300" s="96"/>
      <c r="D300" s="2"/>
      <c r="G300" s="2"/>
      <c r="H300" s="2"/>
      <c r="N300" s="2"/>
      <c r="O300" s="2"/>
      <c r="P300" s="97"/>
      <c r="Q300" s="23"/>
      <c r="R300" s="22"/>
      <c r="S300" s="22"/>
      <c r="T300" s="2">
        <v>91</v>
      </c>
      <c r="U300" s="23"/>
      <c r="V300" s="24"/>
      <c r="W300" s="23"/>
    </row>
    <row r="301" spans="3:23" ht="11.25" hidden="1" customHeight="1">
      <c r="C301" s="96"/>
      <c r="D301" s="2"/>
      <c r="G301" s="2"/>
      <c r="H301" s="2"/>
      <c r="N301" s="2"/>
      <c r="O301" s="2"/>
      <c r="P301" s="97"/>
      <c r="Q301" s="23"/>
      <c r="R301" s="22"/>
      <c r="S301" s="22"/>
      <c r="T301" s="2">
        <v>92</v>
      </c>
      <c r="U301" s="23"/>
      <c r="V301" s="24"/>
      <c r="W301" s="23"/>
    </row>
    <row r="302" spans="3:23" ht="11.25" hidden="1" customHeight="1">
      <c r="C302" s="96"/>
      <c r="D302" s="2"/>
      <c r="G302" s="2"/>
      <c r="H302" s="2"/>
      <c r="N302" s="2"/>
      <c r="O302" s="2"/>
      <c r="P302" s="97"/>
      <c r="Q302" s="23"/>
      <c r="R302" s="22"/>
      <c r="S302" s="22"/>
      <c r="T302" s="2">
        <v>91</v>
      </c>
      <c r="U302" s="23"/>
      <c r="V302" s="24"/>
      <c r="W302" s="23"/>
    </row>
    <row r="303" spans="3:23" ht="11.25" hidden="1" customHeight="1">
      <c r="C303" s="96"/>
      <c r="D303" s="2"/>
      <c r="G303" s="2"/>
      <c r="H303" s="2"/>
      <c r="N303" s="2"/>
      <c r="O303" s="2"/>
      <c r="P303" s="97"/>
      <c r="Q303" s="23"/>
      <c r="R303" s="22"/>
      <c r="S303" s="22"/>
      <c r="T303" s="2">
        <v>92</v>
      </c>
      <c r="U303" s="23"/>
      <c r="V303" s="24"/>
      <c r="W303" s="23"/>
    </row>
    <row r="304" spans="3:23" ht="11.25" hidden="1" customHeight="1">
      <c r="C304" s="96"/>
      <c r="D304" s="2"/>
      <c r="G304" s="2"/>
      <c r="H304" s="2"/>
      <c r="N304" s="2"/>
      <c r="O304" s="2"/>
      <c r="P304" s="97"/>
      <c r="Q304" s="23"/>
      <c r="R304" s="22"/>
      <c r="S304" s="22"/>
      <c r="T304" s="2">
        <v>91</v>
      </c>
      <c r="U304" s="23"/>
      <c r="V304" s="24"/>
      <c r="W304" s="23"/>
    </row>
    <row r="305" spans="3:23" ht="11.25" hidden="1" customHeight="1">
      <c r="C305" s="96"/>
      <c r="D305" s="2"/>
      <c r="G305" s="2"/>
      <c r="H305" s="2"/>
      <c r="N305" s="2"/>
      <c r="O305" s="2"/>
      <c r="P305" s="97"/>
      <c r="Q305" s="23"/>
      <c r="R305" s="22"/>
      <c r="S305" s="22"/>
      <c r="T305" s="2">
        <v>92</v>
      </c>
      <c r="U305" s="23"/>
      <c r="V305" s="24"/>
      <c r="W305" s="23"/>
    </row>
    <row r="306" spans="3:23" ht="11.25" hidden="1" customHeight="1">
      <c r="C306" s="96"/>
      <c r="D306" s="2"/>
      <c r="G306" s="2"/>
      <c r="H306" s="2"/>
      <c r="N306" s="2"/>
      <c r="O306" s="2"/>
      <c r="P306" s="97"/>
      <c r="Q306" s="23"/>
      <c r="R306" s="22"/>
      <c r="S306" s="22"/>
      <c r="T306" s="2">
        <v>91</v>
      </c>
      <c r="U306" s="23"/>
      <c r="V306" s="24"/>
      <c r="W306" s="23"/>
    </row>
    <row r="307" spans="3:23" ht="11.25" hidden="1" customHeight="1">
      <c r="C307" s="96"/>
      <c r="D307" s="2"/>
      <c r="G307" s="2"/>
      <c r="H307" s="2"/>
      <c r="N307" s="2"/>
      <c r="O307" s="2"/>
      <c r="P307" s="97"/>
      <c r="Q307" s="23"/>
      <c r="R307" s="22"/>
      <c r="S307" s="22"/>
      <c r="T307" s="2">
        <v>92</v>
      </c>
      <c r="U307" s="23"/>
      <c r="V307" s="24"/>
      <c r="W307" s="23"/>
    </row>
    <row r="308" spans="3:23" ht="11.25" hidden="1" customHeight="1">
      <c r="C308" s="96"/>
      <c r="D308" s="2"/>
      <c r="G308" s="2"/>
      <c r="H308" s="2"/>
      <c r="N308" s="2"/>
      <c r="O308" s="2"/>
      <c r="P308" s="97"/>
      <c r="Q308" s="23"/>
      <c r="R308" s="22"/>
      <c r="S308" s="22"/>
      <c r="T308" s="2">
        <v>91</v>
      </c>
      <c r="U308" s="23"/>
      <c r="V308" s="24"/>
      <c r="W308" s="23"/>
    </row>
    <row r="309" spans="3:23" ht="11.25" hidden="1" customHeight="1">
      <c r="C309" s="96"/>
      <c r="D309" s="2"/>
      <c r="G309" s="2"/>
      <c r="H309" s="2"/>
      <c r="N309" s="2"/>
      <c r="O309" s="2"/>
      <c r="P309" s="97"/>
      <c r="Q309" s="23"/>
      <c r="R309" s="22"/>
      <c r="S309" s="22"/>
      <c r="T309" s="2">
        <v>92</v>
      </c>
      <c r="U309" s="23"/>
      <c r="V309" s="24"/>
      <c r="W309" s="23"/>
    </row>
    <row r="310" spans="3:23" ht="11.25" hidden="1" customHeight="1">
      <c r="C310" s="96"/>
      <c r="D310" s="2"/>
      <c r="G310" s="2"/>
      <c r="H310" s="2"/>
      <c r="N310" s="2"/>
      <c r="O310" s="2"/>
      <c r="P310" s="97"/>
      <c r="Q310" s="23"/>
      <c r="R310" s="22"/>
      <c r="S310" s="22"/>
      <c r="T310" s="2">
        <v>91</v>
      </c>
      <c r="U310" s="23"/>
      <c r="V310" s="24"/>
      <c r="W310" s="23"/>
    </row>
    <row r="311" spans="3:23" ht="11.25" hidden="1" customHeight="1">
      <c r="C311" s="96"/>
      <c r="D311" s="2"/>
      <c r="G311" s="2"/>
      <c r="H311" s="2"/>
      <c r="N311" s="2"/>
      <c r="O311" s="2"/>
      <c r="P311" s="97"/>
      <c r="Q311" s="23"/>
      <c r="R311" s="22"/>
      <c r="S311" s="22"/>
      <c r="T311" s="2">
        <v>92</v>
      </c>
      <c r="U311" s="23"/>
      <c r="V311" s="24"/>
      <c r="W311" s="23"/>
    </row>
    <row r="312" spans="3:23" ht="11.25" hidden="1" customHeight="1">
      <c r="C312" s="96"/>
      <c r="D312" s="2"/>
      <c r="G312" s="2"/>
      <c r="H312" s="2"/>
      <c r="N312" s="2"/>
      <c r="O312" s="2"/>
      <c r="P312" s="97"/>
      <c r="Q312" s="23"/>
      <c r="R312" s="22"/>
      <c r="S312" s="22"/>
      <c r="T312" s="2">
        <v>91</v>
      </c>
      <c r="U312" s="23"/>
      <c r="V312" s="24"/>
      <c r="W312" s="23"/>
    </row>
    <row r="313" spans="3:23" ht="11.25" hidden="1" customHeight="1">
      <c r="C313" s="96"/>
      <c r="D313" s="2"/>
      <c r="G313" s="2"/>
      <c r="H313" s="2"/>
      <c r="N313" s="2"/>
      <c r="O313" s="2"/>
      <c r="P313" s="97"/>
      <c r="Q313" s="23"/>
      <c r="R313" s="22"/>
      <c r="S313" s="22"/>
      <c r="T313" s="2">
        <v>92</v>
      </c>
      <c r="U313" s="23"/>
      <c r="V313" s="24"/>
      <c r="W313" s="23"/>
    </row>
    <row r="314" spans="3:23" ht="11.25" hidden="1" customHeight="1">
      <c r="C314" s="96"/>
      <c r="D314" s="2"/>
      <c r="G314" s="2"/>
      <c r="H314" s="2"/>
      <c r="N314" s="2"/>
      <c r="O314" s="2"/>
      <c r="P314" s="97"/>
      <c r="Q314" s="23"/>
      <c r="R314" s="22"/>
      <c r="S314" s="22"/>
      <c r="T314" s="2">
        <v>91</v>
      </c>
      <c r="U314" s="23"/>
      <c r="V314" s="24"/>
      <c r="W314" s="23"/>
    </row>
    <row r="315" spans="3:23" ht="11.25" hidden="1" customHeight="1">
      <c r="C315" s="96"/>
      <c r="D315" s="2"/>
      <c r="G315" s="2"/>
      <c r="H315" s="2"/>
      <c r="N315" s="2"/>
      <c r="O315" s="2"/>
      <c r="P315" s="97"/>
      <c r="Q315" s="23"/>
      <c r="R315" s="22"/>
      <c r="S315" s="22"/>
      <c r="T315" s="2">
        <v>92</v>
      </c>
      <c r="U315" s="23"/>
      <c r="V315" s="24"/>
      <c r="W315" s="23"/>
    </row>
    <row r="316" spans="3:23" ht="11.25" hidden="1" customHeight="1">
      <c r="C316" s="96"/>
      <c r="D316" s="2"/>
      <c r="G316" s="2"/>
      <c r="H316" s="2"/>
      <c r="N316" s="2"/>
      <c r="O316" s="2"/>
      <c r="P316" s="97"/>
      <c r="Q316" s="23"/>
      <c r="R316" s="22"/>
      <c r="S316" s="22"/>
      <c r="T316" s="2">
        <v>91</v>
      </c>
      <c r="U316" s="23"/>
      <c r="V316" s="24"/>
      <c r="W316" s="23"/>
    </row>
    <row r="317" spans="3:23" ht="11.25" hidden="1" customHeight="1">
      <c r="C317" s="96"/>
      <c r="D317" s="2"/>
      <c r="G317" s="2"/>
      <c r="H317" s="2"/>
      <c r="N317" s="2"/>
      <c r="O317" s="2"/>
      <c r="P317" s="97"/>
      <c r="Q317" s="23"/>
      <c r="R317" s="22"/>
      <c r="S317" s="22"/>
      <c r="T317" s="2">
        <v>92</v>
      </c>
      <c r="U317" s="23"/>
      <c r="V317" s="24"/>
      <c r="W317" s="23"/>
    </row>
    <row r="318" spans="3:23" ht="11.25" hidden="1" customHeight="1">
      <c r="C318" s="96"/>
      <c r="D318" s="2"/>
      <c r="G318" s="2"/>
      <c r="H318" s="2"/>
      <c r="N318" s="2"/>
      <c r="O318" s="2"/>
      <c r="P318" s="97"/>
      <c r="Q318" s="23"/>
      <c r="R318" s="22"/>
      <c r="S318" s="22"/>
      <c r="T318" s="2">
        <v>91</v>
      </c>
      <c r="U318" s="23"/>
      <c r="V318" s="24"/>
      <c r="W318" s="23"/>
    </row>
    <row r="319" spans="3:23" ht="11.25" hidden="1" customHeight="1">
      <c r="C319" s="96"/>
      <c r="D319" s="2"/>
      <c r="G319" s="2"/>
      <c r="H319" s="2"/>
      <c r="N319" s="2"/>
      <c r="O319" s="2"/>
      <c r="P319" s="97"/>
      <c r="Q319" s="23"/>
      <c r="R319" s="22"/>
      <c r="S319" s="22"/>
      <c r="T319" s="2">
        <v>92</v>
      </c>
      <c r="U319" s="23"/>
      <c r="V319" s="24"/>
      <c r="W319" s="23"/>
    </row>
    <row r="320" spans="3:23" ht="11.25" hidden="1" customHeight="1">
      <c r="C320" s="96"/>
      <c r="D320" s="2"/>
      <c r="G320" s="2"/>
      <c r="H320" s="2"/>
      <c r="N320" s="2"/>
      <c r="O320" s="2"/>
      <c r="P320" s="97"/>
      <c r="Q320" s="23"/>
      <c r="R320" s="22"/>
      <c r="S320" s="22"/>
      <c r="T320" s="2">
        <v>91</v>
      </c>
      <c r="U320" s="23"/>
      <c r="V320" s="24"/>
      <c r="W320" s="23"/>
    </row>
    <row r="321" spans="3:23" ht="11.25" hidden="1" customHeight="1">
      <c r="C321" s="96"/>
      <c r="D321" s="2"/>
      <c r="G321" s="2"/>
      <c r="H321" s="2"/>
      <c r="N321" s="2"/>
      <c r="O321" s="2"/>
      <c r="P321" s="97"/>
      <c r="Q321" s="23"/>
      <c r="R321" s="22"/>
      <c r="S321" s="22"/>
      <c r="T321" s="2">
        <v>92</v>
      </c>
      <c r="U321" s="23"/>
      <c r="V321" s="24"/>
      <c r="W321" s="23"/>
    </row>
    <row r="322" spans="3:23" ht="11.25" hidden="1" customHeight="1">
      <c r="C322" s="96"/>
      <c r="D322" s="2"/>
      <c r="G322" s="2"/>
      <c r="H322" s="2"/>
      <c r="N322" s="2"/>
      <c r="O322" s="2"/>
      <c r="P322" s="97"/>
      <c r="Q322" s="23"/>
      <c r="R322" s="22"/>
      <c r="S322" s="22"/>
      <c r="T322" s="2">
        <v>91</v>
      </c>
      <c r="U322" s="23"/>
      <c r="V322" s="24"/>
      <c r="W322" s="23"/>
    </row>
    <row r="323" spans="3:23" ht="11.25" hidden="1" customHeight="1">
      <c r="C323" s="96"/>
      <c r="D323" s="2"/>
      <c r="G323" s="2"/>
      <c r="H323" s="2"/>
      <c r="N323" s="2"/>
      <c r="O323" s="2"/>
      <c r="P323" s="97"/>
      <c r="Q323" s="23"/>
      <c r="R323" s="22"/>
      <c r="S323" s="22"/>
      <c r="T323" s="2">
        <v>92</v>
      </c>
      <c r="U323" s="23"/>
      <c r="V323" s="24"/>
      <c r="W323" s="23"/>
    </row>
    <row r="324" spans="3:23" ht="11.25" hidden="1" customHeight="1">
      <c r="C324" s="96"/>
      <c r="D324" s="2"/>
      <c r="G324" s="2"/>
      <c r="H324" s="2"/>
      <c r="N324" s="2"/>
      <c r="O324" s="2"/>
      <c r="P324" s="97"/>
      <c r="Q324" s="23"/>
      <c r="R324" s="22"/>
      <c r="S324" s="22"/>
      <c r="T324" s="2">
        <v>91</v>
      </c>
      <c r="U324" s="23"/>
      <c r="V324" s="24"/>
      <c r="W324" s="23"/>
    </row>
    <row r="325" spans="3:23" ht="11.25" hidden="1" customHeight="1">
      <c r="C325" s="96"/>
      <c r="D325" s="2"/>
      <c r="G325" s="2"/>
      <c r="H325" s="2"/>
      <c r="N325" s="2"/>
      <c r="O325" s="2"/>
      <c r="P325" s="97"/>
      <c r="Q325" s="23"/>
      <c r="R325" s="22"/>
      <c r="S325" s="22"/>
      <c r="T325" s="2">
        <v>92</v>
      </c>
      <c r="U325" s="23"/>
      <c r="V325" s="24"/>
      <c r="W325" s="23"/>
    </row>
    <row r="326" spans="3:23" ht="11.25" hidden="1" customHeight="1">
      <c r="C326" s="96"/>
      <c r="D326" s="2"/>
      <c r="G326" s="2"/>
      <c r="H326" s="2"/>
      <c r="N326" s="2"/>
      <c r="O326" s="2"/>
      <c r="P326" s="97"/>
      <c r="Q326" s="23"/>
      <c r="R326" s="22"/>
      <c r="S326" s="22"/>
      <c r="T326" s="2">
        <v>91</v>
      </c>
      <c r="U326" s="23"/>
      <c r="V326" s="24"/>
      <c r="W326" s="23"/>
    </row>
    <row r="327" spans="3:23" ht="11.25" hidden="1" customHeight="1">
      <c r="C327" s="96"/>
      <c r="D327" s="2"/>
      <c r="G327" s="2"/>
      <c r="H327" s="2"/>
      <c r="N327" s="2"/>
      <c r="O327" s="2"/>
      <c r="P327" s="97"/>
      <c r="Q327" s="23"/>
      <c r="R327" s="22"/>
      <c r="S327" s="22"/>
      <c r="T327" s="2">
        <v>92</v>
      </c>
      <c r="U327" s="23"/>
      <c r="V327" s="24"/>
      <c r="W327" s="23"/>
    </row>
    <row r="328" spans="3:23" ht="11.25" hidden="1" customHeight="1">
      <c r="C328" s="96"/>
      <c r="D328" s="2"/>
      <c r="G328" s="2"/>
      <c r="H328" s="2"/>
      <c r="N328" s="2"/>
      <c r="O328" s="2"/>
      <c r="P328" s="97"/>
      <c r="Q328" s="23"/>
      <c r="R328" s="22"/>
      <c r="S328" s="22"/>
      <c r="T328" s="2">
        <v>91</v>
      </c>
      <c r="U328" s="23"/>
      <c r="V328" s="24"/>
      <c r="W328" s="23"/>
    </row>
    <row r="329" spans="3:23" ht="11.25" hidden="1" customHeight="1">
      <c r="C329" s="96"/>
      <c r="D329" s="2"/>
      <c r="G329" s="2"/>
      <c r="H329" s="2"/>
      <c r="N329" s="2"/>
      <c r="O329" s="2"/>
      <c r="P329" s="97"/>
      <c r="Q329" s="23"/>
      <c r="R329" s="22"/>
      <c r="S329" s="22"/>
      <c r="T329" s="2">
        <v>92</v>
      </c>
      <c r="U329" s="23"/>
      <c r="V329" s="24"/>
      <c r="W329" s="23"/>
    </row>
    <row r="330" spans="3:23" ht="11.25" hidden="1" customHeight="1">
      <c r="C330" s="96"/>
      <c r="D330" s="2"/>
      <c r="G330" s="2"/>
      <c r="H330" s="2"/>
      <c r="N330" s="2"/>
      <c r="O330" s="2"/>
      <c r="P330" s="97"/>
      <c r="Q330" s="23"/>
      <c r="R330" s="22"/>
      <c r="S330" s="22"/>
      <c r="T330" s="2">
        <v>91</v>
      </c>
      <c r="U330" s="23"/>
      <c r="V330" s="24"/>
      <c r="W330" s="23"/>
    </row>
    <row r="331" spans="3:23" ht="11.25" hidden="1" customHeight="1">
      <c r="C331" s="96"/>
      <c r="D331" s="2"/>
      <c r="G331" s="2"/>
      <c r="H331" s="2"/>
      <c r="N331" s="2"/>
      <c r="O331" s="2"/>
      <c r="P331" s="97"/>
      <c r="Q331" s="23"/>
      <c r="R331" s="22"/>
      <c r="S331" s="22"/>
      <c r="T331" s="2">
        <v>92</v>
      </c>
      <c r="U331" s="23"/>
      <c r="V331" s="24"/>
      <c r="W331" s="23"/>
    </row>
    <row r="332" spans="3:23" ht="11.25" hidden="1" customHeight="1">
      <c r="C332" s="96"/>
      <c r="D332" s="2"/>
      <c r="G332" s="2"/>
      <c r="H332" s="2"/>
      <c r="N332" s="2"/>
      <c r="O332" s="2"/>
      <c r="P332" s="97"/>
      <c r="Q332" s="23"/>
      <c r="R332" s="22"/>
      <c r="S332" s="22"/>
      <c r="T332" s="2">
        <v>91</v>
      </c>
      <c r="U332" s="23"/>
      <c r="V332" s="24"/>
      <c r="W332" s="23"/>
    </row>
    <row r="333" spans="3:23" ht="11.25" hidden="1" customHeight="1">
      <c r="C333" s="96"/>
      <c r="D333" s="2"/>
      <c r="G333" s="2"/>
      <c r="H333" s="2"/>
      <c r="N333" s="2"/>
      <c r="O333" s="2"/>
      <c r="P333" s="97"/>
      <c r="Q333" s="23"/>
      <c r="R333" s="22"/>
      <c r="S333" s="22"/>
      <c r="T333" s="2">
        <v>92</v>
      </c>
      <c r="U333" s="23"/>
      <c r="V333" s="24"/>
      <c r="W333" s="23"/>
    </row>
    <row r="334" spans="3:23" ht="11.25" hidden="1" customHeight="1">
      <c r="C334" s="96"/>
      <c r="D334" s="2"/>
      <c r="G334" s="2"/>
      <c r="H334" s="2"/>
      <c r="N334" s="2"/>
      <c r="O334" s="2"/>
      <c r="P334" s="97"/>
      <c r="Q334" s="23"/>
      <c r="R334" s="22"/>
      <c r="S334" s="22"/>
      <c r="T334" s="2">
        <v>91</v>
      </c>
      <c r="U334" s="23"/>
      <c r="V334" s="24"/>
      <c r="W334" s="23"/>
    </row>
    <row r="335" spans="3:23" ht="11.25" hidden="1" customHeight="1">
      <c r="C335" s="96"/>
      <c r="D335" s="2"/>
      <c r="G335" s="2"/>
      <c r="H335" s="2"/>
      <c r="N335" s="2"/>
      <c r="O335" s="2"/>
      <c r="P335" s="97"/>
      <c r="Q335" s="23"/>
      <c r="R335" s="22"/>
      <c r="S335" s="22"/>
      <c r="T335" s="2">
        <v>92</v>
      </c>
      <c r="U335" s="23"/>
      <c r="V335" s="24"/>
      <c r="W335" s="23"/>
    </row>
    <row r="336" spans="3:23" ht="11.25" hidden="1" customHeight="1">
      <c r="C336" s="96"/>
      <c r="D336" s="2"/>
      <c r="G336" s="2"/>
      <c r="H336" s="2"/>
      <c r="N336" s="2"/>
      <c r="O336" s="2"/>
      <c r="P336" s="97"/>
      <c r="Q336" s="23"/>
      <c r="R336" s="22"/>
      <c r="S336" s="22"/>
      <c r="T336" s="2">
        <v>91</v>
      </c>
      <c r="U336" s="23"/>
      <c r="V336" s="24"/>
      <c r="W336" s="23"/>
    </row>
    <row r="337" spans="3:23" ht="11.25" hidden="1" customHeight="1">
      <c r="C337" s="96"/>
      <c r="D337" s="2"/>
      <c r="G337" s="2"/>
      <c r="H337" s="2"/>
      <c r="N337" s="2"/>
      <c r="O337" s="2"/>
      <c r="P337" s="97"/>
      <c r="Q337" s="23"/>
      <c r="R337" s="22"/>
      <c r="S337" s="22"/>
      <c r="T337" s="2">
        <v>92</v>
      </c>
      <c r="U337" s="23"/>
      <c r="V337" s="24"/>
      <c r="W337" s="23"/>
    </row>
    <row r="338" spans="3:23" ht="11.25" hidden="1" customHeight="1">
      <c r="C338" s="96"/>
      <c r="D338" s="2"/>
      <c r="G338" s="2"/>
      <c r="H338" s="2"/>
      <c r="N338" s="2"/>
      <c r="O338" s="2"/>
      <c r="P338" s="97"/>
      <c r="Q338" s="23"/>
      <c r="R338" s="22"/>
      <c r="S338" s="22"/>
      <c r="T338" s="2">
        <v>91</v>
      </c>
      <c r="U338" s="23"/>
      <c r="V338" s="24"/>
      <c r="W338" s="23"/>
    </row>
    <row r="339" spans="3:23" ht="11.25" hidden="1" customHeight="1">
      <c r="C339" s="96"/>
      <c r="D339" s="2"/>
      <c r="G339" s="2"/>
      <c r="H339" s="2"/>
      <c r="N339" s="2"/>
      <c r="O339" s="2"/>
      <c r="P339" s="97"/>
      <c r="Q339" s="23"/>
      <c r="R339" s="22"/>
      <c r="S339" s="22"/>
      <c r="T339" s="2">
        <v>92</v>
      </c>
      <c r="U339" s="23"/>
      <c r="V339" s="24"/>
      <c r="W339" s="23"/>
    </row>
    <row r="340" spans="3:23" ht="11.25" hidden="1" customHeight="1">
      <c r="C340" s="96"/>
      <c r="D340" s="2"/>
      <c r="G340" s="2"/>
      <c r="H340" s="2"/>
      <c r="N340" s="2"/>
      <c r="O340" s="2"/>
      <c r="P340" s="97"/>
      <c r="Q340" s="23"/>
      <c r="R340" s="22"/>
      <c r="S340" s="22"/>
      <c r="T340" s="2">
        <v>91</v>
      </c>
      <c r="U340" s="23"/>
      <c r="V340" s="24"/>
      <c r="W340" s="23"/>
    </row>
    <row r="341" spans="3:23" ht="11.25" hidden="1" customHeight="1">
      <c r="C341" s="96"/>
      <c r="D341" s="2"/>
      <c r="G341" s="2"/>
      <c r="H341" s="2"/>
      <c r="N341" s="2"/>
      <c r="O341" s="2"/>
      <c r="P341" s="97"/>
      <c r="Q341" s="23"/>
      <c r="R341" s="22"/>
      <c r="S341" s="22"/>
      <c r="T341" s="2">
        <v>92</v>
      </c>
      <c r="U341" s="23"/>
      <c r="V341" s="24"/>
      <c r="W341" s="23"/>
    </row>
    <row r="342" spans="3:23" ht="11.25" hidden="1" customHeight="1">
      <c r="C342" s="96"/>
      <c r="D342" s="2"/>
      <c r="G342" s="2"/>
      <c r="H342" s="2"/>
      <c r="N342" s="2"/>
      <c r="O342" s="2"/>
      <c r="P342" s="97"/>
      <c r="Q342" s="23"/>
      <c r="R342" s="22"/>
      <c r="S342" s="22"/>
      <c r="T342" s="2">
        <v>91</v>
      </c>
      <c r="U342" s="23"/>
      <c r="V342" s="24"/>
      <c r="W342" s="23"/>
    </row>
    <row r="343" spans="3:23" ht="11.25" hidden="1" customHeight="1">
      <c r="C343" s="96"/>
      <c r="D343" s="2"/>
      <c r="G343" s="2"/>
      <c r="H343" s="2"/>
      <c r="N343" s="2"/>
      <c r="O343" s="2"/>
      <c r="P343" s="97"/>
      <c r="Q343" s="23"/>
      <c r="R343" s="22"/>
      <c r="S343" s="22"/>
      <c r="T343" s="2">
        <v>92</v>
      </c>
      <c r="U343" s="23"/>
      <c r="V343" s="24"/>
      <c r="W343" s="23"/>
    </row>
    <row r="344" spans="3:23" ht="11.25" hidden="1" customHeight="1">
      <c r="C344" s="96"/>
      <c r="D344" s="2"/>
      <c r="G344" s="2"/>
      <c r="H344" s="2"/>
      <c r="N344" s="2"/>
      <c r="O344" s="2"/>
      <c r="P344" s="97"/>
      <c r="Q344" s="23"/>
      <c r="R344" s="22"/>
      <c r="S344" s="22"/>
      <c r="T344" s="2">
        <v>91</v>
      </c>
      <c r="U344" s="23"/>
      <c r="V344" s="24"/>
      <c r="W344" s="23"/>
    </row>
    <row r="345" spans="3:23" ht="11.25" hidden="1" customHeight="1">
      <c r="C345" s="96"/>
      <c r="D345" s="2"/>
      <c r="G345" s="2"/>
      <c r="H345" s="2"/>
      <c r="N345" s="2"/>
      <c r="O345" s="2"/>
      <c r="P345" s="97"/>
      <c r="Q345" s="23"/>
      <c r="R345" s="22"/>
      <c r="S345" s="22"/>
      <c r="T345" s="2">
        <v>92</v>
      </c>
      <c r="U345" s="23"/>
      <c r="V345" s="24"/>
      <c r="W345" s="23"/>
    </row>
    <row r="346" spans="3:23" ht="11.25" hidden="1" customHeight="1">
      <c r="C346" s="96"/>
      <c r="D346" s="2"/>
      <c r="G346" s="2"/>
      <c r="H346" s="2"/>
      <c r="N346" s="2"/>
      <c r="O346" s="2"/>
      <c r="P346" s="97"/>
      <c r="Q346" s="23"/>
      <c r="R346" s="22"/>
      <c r="S346" s="22"/>
      <c r="T346" s="2">
        <v>91</v>
      </c>
      <c r="U346" s="23"/>
      <c r="V346" s="24"/>
      <c r="W346" s="23"/>
    </row>
    <row r="347" spans="3:23" ht="11.25" hidden="1" customHeight="1">
      <c r="C347" s="96"/>
      <c r="D347" s="2"/>
      <c r="G347" s="2"/>
      <c r="H347" s="2"/>
      <c r="N347" s="2"/>
      <c r="O347" s="2"/>
      <c r="P347" s="97"/>
      <c r="Q347" s="23"/>
      <c r="R347" s="22"/>
      <c r="S347" s="22"/>
      <c r="T347" s="2">
        <v>92</v>
      </c>
      <c r="U347" s="23"/>
      <c r="V347" s="24"/>
      <c r="W347" s="23"/>
    </row>
    <row r="348" spans="3:23" ht="11.25" hidden="1" customHeight="1">
      <c r="C348" s="96"/>
      <c r="D348" s="2"/>
      <c r="G348" s="2"/>
      <c r="H348" s="2"/>
      <c r="N348" s="2"/>
      <c r="O348" s="2"/>
      <c r="P348" s="97"/>
      <c r="Q348" s="23"/>
      <c r="R348" s="22"/>
      <c r="S348" s="22"/>
      <c r="T348" s="2">
        <v>91</v>
      </c>
      <c r="U348" s="23"/>
      <c r="V348" s="24"/>
      <c r="W348" s="23"/>
    </row>
    <row r="349" spans="3:23" ht="11.25" hidden="1" customHeight="1">
      <c r="C349" s="96"/>
      <c r="D349" s="2"/>
      <c r="G349" s="2"/>
      <c r="H349" s="2"/>
      <c r="N349" s="2"/>
      <c r="O349" s="2"/>
      <c r="P349" s="97"/>
      <c r="Q349" s="23"/>
      <c r="R349" s="22"/>
      <c r="S349" s="22"/>
      <c r="T349" s="2">
        <v>92</v>
      </c>
      <c r="U349" s="23"/>
      <c r="V349" s="24"/>
      <c r="W349" s="23"/>
    </row>
    <row r="350" spans="3:23" ht="11.25" hidden="1" customHeight="1">
      <c r="C350" s="96"/>
      <c r="D350" s="2"/>
      <c r="G350" s="2"/>
      <c r="H350" s="2"/>
      <c r="N350" s="2"/>
      <c r="O350" s="2"/>
      <c r="P350" s="97"/>
      <c r="Q350" s="23"/>
      <c r="R350" s="22"/>
      <c r="S350" s="22"/>
      <c r="T350" s="2">
        <v>91</v>
      </c>
      <c r="U350" s="23"/>
      <c r="V350" s="24"/>
      <c r="W350" s="23"/>
    </row>
    <row r="351" spans="3:23" ht="11.25" hidden="1" customHeight="1">
      <c r="C351" s="96"/>
      <c r="D351" s="2"/>
      <c r="G351" s="2"/>
      <c r="H351" s="2"/>
      <c r="N351" s="2"/>
      <c r="O351" s="2"/>
      <c r="P351" s="97"/>
      <c r="Q351" s="23"/>
      <c r="R351" s="22"/>
      <c r="S351" s="22"/>
      <c r="T351" s="2">
        <v>92</v>
      </c>
      <c r="U351" s="23"/>
      <c r="V351" s="24"/>
      <c r="W351" s="23"/>
    </row>
    <row r="352" spans="3:23" ht="11.25" hidden="1" customHeight="1">
      <c r="C352" s="96"/>
      <c r="D352" s="2"/>
      <c r="G352" s="2"/>
      <c r="H352" s="2"/>
      <c r="N352" s="2"/>
      <c r="O352" s="2"/>
      <c r="P352" s="97"/>
      <c r="Q352" s="23"/>
      <c r="R352" s="22"/>
      <c r="S352" s="22"/>
      <c r="T352" s="2">
        <v>91</v>
      </c>
      <c r="U352" s="23"/>
      <c r="V352" s="24"/>
      <c r="W352" s="23"/>
    </row>
    <row r="353" spans="3:23" ht="11.25" hidden="1" customHeight="1">
      <c r="C353" s="96"/>
      <c r="D353" s="2"/>
      <c r="G353" s="2"/>
      <c r="H353" s="2"/>
      <c r="N353" s="2"/>
      <c r="O353" s="2"/>
      <c r="P353" s="97"/>
      <c r="Q353" s="23"/>
      <c r="R353" s="22"/>
      <c r="S353" s="22"/>
      <c r="T353" s="2">
        <v>92</v>
      </c>
      <c r="U353" s="23"/>
      <c r="V353" s="24"/>
      <c r="W353" s="23"/>
    </row>
    <row r="354" spans="3:23" ht="11.25" hidden="1" customHeight="1">
      <c r="C354" s="96"/>
      <c r="D354" s="2"/>
      <c r="G354" s="2"/>
      <c r="H354" s="2"/>
      <c r="N354" s="2"/>
      <c r="O354" s="2"/>
      <c r="P354" s="97"/>
      <c r="Q354" s="23"/>
      <c r="R354" s="22"/>
      <c r="S354" s="22"/>
      <c r="T354" s="2">
        <v>91</v>
      </c>
      <c r="U354" s="23"/>
      <c r="V354" s="24"/>
      <c r="W354" s="23"/>
    </row>
    <row r="355" spans="3:23" ht="11.25" hidden="1" customHeight="1">
      <c r="C355" s="96"/>
      <c r="D355" s="2"/>
      <c r="G355" s="2"/>
      <c r="H355" s="2"/>
      <c r="N355" s="2"/>
      <c r="O355" s="2"/>
      <c r="P355" s="97"/>
      <c r="Q355" s="23"/>
      <c r="R355" s="22"/>
      <c r="S355" s="22"/>
      <c r="T355" s="2">
        <v>92</v>
      </c>
      <c r="U355" s="23"/>
      <c r="V355" s="24"/>
      <c r="W355" s="23"/>
    </row>
    <row r="356" spans="3:23" ht="11.25" hidden="1" customHeight="1">
      <c r="C356" s="96"/>
      <c r="D356" s="2"/>
      <c r="G356" s="2"/>
      <c r="H356" s="2"/>
      <c r="N356" s="2"/>
      <c r="O356" s="2"/>
      <c r="P356" s="97"/>
      <c r="Q356" s="23"/>
      <c r="R356" s="22"/>
      <c r="S356" s="22"/>
      <c r="T356" s="2">
        <v>91</v>
      </c>
      <c r="U356" s="23"/>
      <c r="V356" s="24"/>
      <c r="W356" s="23"/>
    </row>
    <row r="357" spans="3:23" ht="11.25" hidden="1" customHeight="1">
      <c r="C357" s="96"/>
      <c r="D357" s="2"/>
      <c r="G357" s="2"/>
      <c r="H357" s="2"/>
      <c r="N357" s="2"/>
      <c r="O357" s="2"/>
      <c r="P357" s="97"/>
      <c r="Q357" s="23"/>
      <c r="R357" s="22"/>
      <c r="S357" s="22"/>
      <c r="T357" s="2">
        <v>92</v>
      </c>
      <c r="U357" s="23"/>
      <c r="V357" s="24"/>
      <c r="W357" s="23"/>
    </row>
    <row r="358" spans="3:23" ht="11.25" hidden="1" customHeight="1">
      <c r="C358" s="96"/>
      <c r="D358" s="2"/>
      <c r="G358" s="2"/>
      <c r="H358" s="2"/>
      <c r="N358" s="2"/>
      <c r="O358" s="2"/>
      <c r="P358" s="97"/>
      <c r="R358" s="22"/>
      <c r="S358" s="22"/>
      <c r="T358" s="2">
        <v>91</v>
      </c>
      <c r="U358" s="23"/>
      <c r="V358" s="24"/>
      <c r="W358" s="23"/>
    </row>
    <row r="359" spans="3:23" ht="11.25" hidden="1" customHeight="1">
      <c r="C359" s="96"/>
      <c r="D359" s="2"/>
      <c r="G359" s="2"/>
      <c r="H359" s="2"/>
      <c r="N359" s="2"/>
      <c r="O359" s="2"/>
      <c r="P359" s="97"/>
      <c r="R359" s="22"/>
      <c r="S359" s="22"/>
      <c r="T359" s="2">
        <v>92</v>
      </c>
      <c r="U359" s="23"/>
      <c r="V359" s="24"/>
      <c r="W359" s="23"/>
    </row>
    <row r="360" spans="3:23" ht="11.25" hidden="1" customHeight="1">
      <c r="C360" s="96"/>
      <c r="D360" s="2"/>
      <c r="G360" s="2"/>
      <c r="H360" s="2"/>
      <c r="N360" s="2"/>
      <c r="O360" s="2"/>
      <c r="P360" s="97"/>
      <c r="R360" s="22"/>
      <c r="S360" s="22"/>
      <c r="T360" s="2">
        <v>91</v>
      </c>
      <c r="U360" s="23"/>
      <c r="V360" s="24"/>
      <c r="W360" s="23"/>
    </row>
    <row r="361" spans="3:23" ht="11.25" hidden="1" customHeight="1">
      <c r="C361" s="96"/>
      <c r="D361" s="2"/>
      <c r="G361" s="2"/>
      <c r="H361" s="2"/>
      <c r="N361" s="2"/>
      <c r="O361" s="2"/>
      <c r="P361" s="97"/>
      <c r="R361" s="22"/>
      <c r="S361" s="22"/>
      <c r="T361" s="2">
        <v>92</v>
      </c>
      <c r="U361" s="23"/>
      <c r="V361" s="24"/>
      <c r="W361" s="23"/>
    </row>
    <row r="362" spans="3:23" ht="11.25" hidden="1" customHeight="1">
      <c r="C362" s="96"/>
      <c r="D362" s="2"/>
      <c r="G362" s="2"/>
      <c r="H362" s="2"/>
      <c r="N362" s="2"/>
      <c r="O362" s="2"/>
      <c r="P362" s="97"/>
      <c r="R362" s="22"/>
      <c r="S362" s="22"/>
      <c r="T362" s="2">
        <v>91</v>
      </c>
      <c r="U362" s="23"/>
      <c r="V362" s="24"/>
      <c r="W362" s="23"/>
    </row>
    <row r="363" spans="3:23" ht="11.25" hidden="1" customHeight="1">
      <c r="C363" s="96"/>
      <c r="D363" s="2"/>
      <c r="G363" s="2"/>
      <c r="H363" s="2"/>
      <c r="N363" s="2"/>
      <c r="O363" s="2"/>
      <c r="P363" s="97"/>
      <c r="R363" s="22"/>
      <c r="S363" s="22"/>
      <c r="T363" s="2">
        <v>92</v>
      </c>
      <c r="U363" s="23"/>
      <c r="V363" s="24"/>
      <c r="W363" s="23"/>
    </row>
    <row r="364" spans="3:23" ht="11.25" hidden="1" customHeight="1">
      <c r="C364" s="96"/>
      <c r="D364" s="2"/>
      <c r="G364" s="2"/>
      <c r="H364" s="2"/>
      <c r="N364" s="2"/>
      <c r="O364" s="2"/>
      <c r="P364" s="97"/>
      <c r="R364" s="22"/>
      <c r="S364" s="22"/>
      <c r="T364" s="2">
        <v>91</v>
      </c>
      <c r="U364" s="23"/>
      <c r="V364" s="24"/>
      <c r="W364" s="23"/>
    </row>
    <row r="365" spans="3:23" ht="11.25" hidden="1" customHeight="1">
      <c r="C365" s="96"/>
      <c r="D365" s="2"/>
      <c r="G365" s="2"/>
      <c r="H365" s="2"/>
      <c r="N365" s="2"/>
      <c r="O365" s="2"/>
      <c r="P365" s="97"/>
      <c r="R365" s="22"/>
      <c r="S365" s="22"/>
      <c r="T365" s="2">
        <v>92</v>
      </c>
      <c r="U365" s="23"/>
      <c r="V365" s="24"/>
      <c r="W365" s="23"/>
    </row>
    <row r="366" spans="3:23" ht="11.25" hidden="1" customHeight="1">
      <c r="C366" s="96"/>
      <c r="D366" s="2"/>
      <c r="G366" s="2"/>
      <c r="H366" s="2"/>
      <c r="N366" s="2"/>
      <c r="O366" s="2"/>
      <c r="P366" s="97"/>
      <c r="R366" s="22"/>
      <c r="S366" s="22"/>
      <c r="T366" s="2">
        <v>91</v>
      </c>
      <c r="U366" s="23"/>
      <c r="V366" s="24"/>
      <c r="W366" s="23"/>
    </row>
    <row r="367" spans="3:23" ht="11.25" hidden="1" customHeight="1">
      <c r="C367" s="96"/>
      <c r="D367" s="2"/>
      <c r="G367" s="2"/>
      <c r="H367" s="2"/>
      <c r="N367" s="2"/>
      <c r="O367" s="2"/>
      <c r="P367" s="97"/>
      <c r="R367" s="22"/>
      <c r="S367" s="22"/>
      <c r="T367" s="2">
        <v>92</v>
      </c>
      <c r="U367" s="23"/>
      <c r="V367" s="24"/>
      <c r="W367" s="23"/>
    </row>
    <row r="368" spans="3:23" ht="11.25" hidden="1" customHeight="1">
      <c r="C368" s="96"/>
      <c r="D368" s="2"/>
      <c r="G368" s="2"/>
      <c r="H368" s="2"/>
      <c r="N368" s="2"/>
      <c r="O368" s="2"/>
      <c r="P368" s="97"/>
      <c r="R368" s="22"/>
      <c r="S368" s="22"/>
      <c r="T368" s="2">
        <v>91</v>
      </c>
      <c r="U368" s="23"/>
      <c r="V368" s="24"/>
      <c r="W368" s="23"/>
    </row>
    <row r="369" spans="3:23" ht="11.25" hidden="1" customHeight="1">
      <c r="C369" s="96"/>
      <c r="D369" s="2"/>
      <c r="G369" s="2"/>
      <c r="H369" s="2"/>
      <c r="N369" s="2"/>
      <c r="O369" s="2"/>
      <c r="P369" s="97"/>
      <c r="R369" s="22"/>
      <c r="S369" s="22"/>
      <c r="T369" s="2">
        <v>92</v>
      </c>
      <c r="U369" s="23"/>
      <c r="V369" s="24"/>
      <c r="W369" s="23"/>
    </row>
    <row r="370" spans="3:23" ht="11.25" hidden="1" customHeight="1">
      <c r="C370" s="96"/>
      <c r="D370" s="2"/>
      <c r="G370" s="2"/>
      <c r="H370" s="2"/>
      <c r="N370" s="2"/>
      <c r="O370" s="2"/>
      <c r="P370" s="97"/>
      <c r="R370" s="22"/>
      <c r="S370" s="22"/>
      <c r="T370" s="2">
        <v>91</v>
      </c>
      <c r="U370" s="23"/>
      <c r="V370" s="24"/>
      <c r="W370" s="23"/>
    </row>
    <row r="371" spans="3:23" ht="11.25" hidden="1" customHeight="1">
      <c r="C371" s="96"/>
      <c r="D371" s="2"/>
      <c r="G371" s="2"/>
      <c r="H371" s="2"/>
      <c r="N371" s="2"/>
      <c r="O371" s="2"/>
      <c r="P371" s="97"/>
      <c r="R371" s="22"/>
      <c r="S371" s="22"/>
      <c r="T371" s="2">
        <v>92</v>
      </c>
      <c r="U371" s="23"/>
      <c r="V371" s="24"/>
      <c r="W371" s="23"/>
    </row>
    <row r="372" spans="3:23" ht="11.25" hidden="1" customHeight="1">
      <c r="C372" s="96"/>
      <c r="D372" s="2"/>
      <c r="G372" s="2"/>
      <c r="H372" s="2"/>
      <c r="N372" s="2"/>
      <c r="O372" s="2"/>
      <c r="P372" s="97"/>
      <c r="R372" s="22"/>
      <c r="S372" s="22"/>
      <c r="T372" s="2">
        <v>91</v>
      </c>
      <c r="U372" s="23"/>
      <c r="V372" s="24"/>
      <c r="W372" s="23"/>
    </row>
    <row r="373" spans="3:23" ht="11.25" hidden="1" customHeight="1">
      <c r="C373" s="96"/>
      <c r="D373" s="2"/>
      <c r="G373" s="2"/>
      <c r="H373" s="2"/>
      <c r="N373" s="2"/>
      <c r="O373" s="2"/>
      <c r="P373" s="97"/>
      <c r="R373" s="22"/>
      <c r="S373" s="22"/>
      <c r="T373" s="2">
        <v>92</v>
      </c>
      <c r="U373" s="23"/>
      <c r="V373" s="24"/>
      <c r="W373" s="23"/>
    </row>
    <row r="374" spans="3:23" ht="11.25" hidden="1" customHeight="1">
      <c r="C374" s="96"/>
      <c r="D374" s="2"/>
      <c r="G374" s="2"/>
      <c r="H374" s="2"/>
      <c r="N374" s="2"/>
      <c r="O374" s="2"/>
      <c r="P374" s="97"/>
      <c r="R374" s="22"/>
      <c r="S374" s="22"/>
      <c r="T374" s="2">
        <v>91</v>
      </c>
      <c r="U374" s="23"/>
      <c r="V374" s="24"/>
      <c r="W374" s="23"/>
    </row>
    <row r="375" spans="3:23" ht="11.25" hidden="1" customHeight="1">
      <c r="C375" s="96"/>
      <c r="D375" s="2"/>
      <c r="G375" s="2"/>
      <c r="H375" s="2"/>
      <c r="N375" s="2"/>
      <c r="O375" s="2"/>
      <c r="P375" s="97"/>
      <c r="R375" s="22"/>
      <c r="S375" s="22"/>
      <c r="T375" s="2">
        <v>92</v>
      </c>
      <c r="U375" s="23"/>
      <c r="V375" s="24"/>
      <c r="W375" s="23"/>
    </row>
    <row r="376" spans="3:23" ht="11.25" hidden="1" customHeight="1">
      <c r="C376" s="96"/>
      <c r="D376" s="2"/>
      <c r="G376" s="2"/>
      <c r="H376" s="2"/>
      <c r="N376" s="2"/>
      <c r="O376" s="2"/>
      <c r="P376" s="97"/>
      <c r="R376" s="22"/>
      <c r="S376" s="22"/>
      <c r="T376" s="2">
        <v>91</v>
      </c>
      <c r="U376" s="23"/>
      <c r="V376" s="24"/>
      <c r="W376" s="23"/>
    </row>
    <row r="377" spans="3:23" ht="11.25" hidden="1" customHeight="1">
      <c r="C377" s="96"/>
      <c r="D377" s="2"/>
      <c r="G377" s="2"/>
      <c r="H377" s="2"/>
      <c r="N377" s="2"/>
      <c r="O377" s="2"/>
      <c r="P377" s="97"/>
      <c r="R377" s="22"/>
      <c r="S377" s="22"/>
      <c r="T377" s="2">
        <v>92</v>
      </c>
      <c r="U377" s="23"/>
      <c r="V377" s="24"/>
      <c r="W377" s="23"/>
    </row>
    <row r="378" spans="3:23" ht="11.25" hidden="1" customHeight="1">
      <c r="C378" s="96"/>
      <c r="D378" s="2"/>
      <c r="G378" s="2"/>
      <c r="H378" s="2"/>
      <c r="N378" s="2"/>
      <c r="O378" s="2"/>
      <c r="P378" s="97"/>
      <c r="R378" s="22"/>
      <c r="S378" s="22"/>
      <c r="T378" s="2">
        <v>91</v>
      </c>
      <c r="U378" s="23"/>
      <c r="V378" s="24"/>
      <c r="W378" s="23"/>
    </row>
    <row r="379" spans="3:23" ht="11.25" hidden="1" customHeight="1">
      <c r="C379" s="96"/>
      <c r="D379" s="2"/>
      <c r="G379" s="2"/>
      <c r="H379" s="2"/>
      <c r="N379" s="2"/>
      <c r="O379" s="2"/>
      <c r="P379" s="97"/>
      <c r="R379" s="22"/>
      <c r="S379" s="22"/>
      <c r="T379" s="2">
        <v>92</v>
      </c>
      <c r="U379" s="23"/>
      <c r="V379" s="24"/>
      <c r="W379" s="23"/>
    </row>
    <row r="380" spans="3:23" ht="11.25" hidden="1" customHeight="1">
      <c r="C380" s="96"/>
      <c r="D380" s="2"/>
      <c r="G380" s="2"/>
      <c r="H380" s="2"/>
      <c r="N380" s="2"/>
      <c r="O380" s="2"/>
      <c r="P380" s="97"/>
      <c r="R380" s="22"/>
      <c r="S380" s="22"/>
      <c r="T380" s="2">
        <v>91</v>
      </c>
      <c r="U380" s="23"/>
      <c r="V380" s="24"/>
      <c r="W380" s="23"/>
    </row>
    <row r="381" spans="3:23" ht="11.25" hidden="1" customHeight="1">
      <c r="C381" s="96"/>
      <c r="D381" s="2"/>
      <c r="G381" s="2"/>
      <c r="H381" s="2"/>
      <c r="N381" s="2"/>
      <c r="O381" s="2"/>
      <c r="P381" s="97"/>
      <c r="R381" s="22"/>
      <c r="S381" s="22"/>
      <c r="T381" s="2">
        <v>92</v>
      </c>
      <c r="U381" s="23"/>
      <c r="V381" s="24"/>
      <c r="W381" s="23"/>
    </row>
    <row r="382" spans="3:23" ht="11.25" hidden="1" customHeight="1">
      <c r="C382" s="96"/>
      <c r="D382" s="2"/>
      <c r="G382" s="2"/>
      <c r="H382" s="2"/>
      <c r="N382" s="2"/>
      <c r="O382" s="2"/>
      <c r="P382" s="97"/>
      <c r="R382" s="22"/>
      <c r="S382" s="22"/>
      <c r="T382" s="2">
        <v>91</v>
      </c>
      <c r="U382" s="23"/>
      <c r="V382" s="24"/>
      <c r="W382" s="23"/>
    </row>
    <row r="383" spans="3:23" ht="11.25" hidden="1" customHeight="1">
      <c r="C383" s="96"/>
      <c r="D383" s="2"/>
      <c r="G383" s="2"/>
      <c r="H383" s="2"/>
      <c r="N383" s="2"/>
      <c r="O383" s="2"/>
      <c r="P383" s="97"/>
      <c r="R383" s="22"/>
      <c r="S383" s="22"/>
      <c r="T383" s="2">
        <v>92</v>
      </c>
      <c r="U383" s="23"/>
      <c r="V383" s="24"/>
      <c r="W383" s="23"/>
    </row>
    <row r="384" spans="3:23" ht="11.25" hidden="1" customHeight="1">
      <c r="C384" s="96"/>
      <c r="D384" s="2"/>
      <c r="G384" s="2"/>
      <c r="H384" s="2"/>
      <c r="N384" s="2"/>
      <c r="O384" s="2"/>
      <c r="P384" s="97"/>
      <c r="R384" s="22"/>
      <c r="S384" s="22"/>
      <c r="T384" s="2">
        <v>91</v>
      </c>
      <c r="U384" s="23"/>
      <c r="V384" s="24"/>
      <c r="W384" s="23"/>
    </row>
    <row r="385" spans="3:23" ht="11.25" hidden="1" customHeight="1">
      <c r="C385" s="96"/>
      <c r="D385" s="2"/>
      <c r="G385" s="2"/>
      <c r="H385" s="2"/>
      <c r="N385" s="2"/>
      <c r="O385" s="2"/>
      <c r="P385" s="97"/>
      <c r="R385" s="22"/>
      <c r="S385" s="22"/>
      <c r="T385" s="2">
        <v>92</v>
      </c>
      <c r="U385" s="23"/>
      <c r="V385" s="24"/>
      <c r="W385" s="23"/>
    </row>
    <row r="386" spans="3:23" ht="11.25" hidden="1" customHeight="1">
      <c r="C386" s="96"/>
      <c r="D386" s="2"/>
      <c r="G386" s="2"/>
      <c r="H386" s="2"/>
      <c r="N386" s="2"/>
      <c r="O386" s="2"/>
      <c r="P386" s="97"/>
      <c r="R386" s="22"/>
      <c r="S386" s="22"/>
      <c r="T386" s="2">
        <v>91</v>
      </c>
      <c r="U386" s="23"/>
      <c r="V386" s="24"/>
      <c r="W386" s="23"/>
    </row>
    <row r="387" spans="3:23" ht="11.25" hidden="1" customHeight="1">
      <c r="C387" s="96"/>
      <c r="D387" s="2"/>
      <c r="G387" s="2"/>
      <c r="H387" s="2"/>
      <c r="N387" s="2"/>
      <c r="O387" s="2"/>
      <c r="P387" s="97"/>
      <c r="R387" s="22"/>
      <c r="S387" s="22"/>
      <c r="T387" s="2">
        <v>92</v>
      </c>
      <c r="U387" s="23"/>
      <c r="V387" s="24"/>
      <c r="W387" s="23"/>
    </row>
    <row r="388" spans="3:23" ht="11.25" hidden="1" customHeight="1">
      <c r="C388" s="96"/>
      <c r="D388" s="2"/>
      <c r="G388" s="2"/>
      <c r="H388" s="2"/>
      <c r="N388" s="2"/>
      <c r="O388" s="2"/>
      <c r="P388" s="97"/>
      <c r="R388" s="22"/>
      <c r="S388" s="22"/>
      <c r="T388" s="2">
        <v>91</v>
      </c>
      <c r="U388" s="23"/>
      <c r="V388" s="24"/>
      <c r="W388" s="23"/>
    </row>
    <row r="389" spans="3:23" ht="11.25" hidden="1" customHeight="1">
      <c r="C389" s="96"/>
      <c r="D389" s="2"/>
      <c r="G389" s="2"/>
      <c r="H389" s="2"/>
      <c r="N389" s="2"/>
      <c r="O389" s="2"/>
      <c r="P389" s="97"/>
      <c r="R389" s="22"/>
      <c r="S389" s="22"/>
      <c r="T389" s="2">
        <v>92</v>
      </c>
      <c r="U389" s="23"/>
      <c r="V389" s="24"/>
      <c r="W389" s="23"/>
    </row>
    <row r="390" spans="3:23" ht="11.25" hidden="1" customHeight="1">
      <c r="C390" s="96"/>
      <c r="D390" s="2"/>
      <c r="G390" s="2"/>
      <c r="H390" s="2"/>
      <c r="N390" s="2"/>
      <c r="O390" s="2"/>
      <c r="P390" s="97"/>
      <c r="R390" s="22"/>
      <c r="S390" s="22"/>
      <c r="T390" s="2">
        <v>91</v>
      </c>
      <c r="U390" s="23"/>
      <c r="V390" s="24"/>
      <c r="W390" s="23"/>
    </row>
    <row r="391" spans="3:23" ht="11.25" hidden="1" customHeight="1">
      <c r="C391" s="96"/>
      <c r="D391" s="2"/>
      <c r="G391" s="2"/>
      <c r="H391" s="2"/>
      <c r="N391" s="2"/>
      <c r="O391" s="2"/>
      <c r="P391" s="97"/>
      <c r="R391" s="22"/>
      <c r="S391" s="22"/>
      <c r="T391" s="2">
        <v>92</v>
      </c>
      <c r="U391" s="23"/>
      <c r="V391" s="24"/>
      <c r="W391" s="23"/>
    </row>
    <row r="392" spans="3:23" ht="11.25" hidden="1" customHeight="1">
      <c r="C392" s="96"/>
      <c r="D392" s="2"/>
      <c r="G392" s="2"/>
      <c r="H392" s="2"/>
      <c r="N392" s="2"/>
      <c r="O392" s="2"/>
      <c r="P392" s="97"/>
      <c r="R392" s="22"/>
      <c r="S392" s="22"/>
      <c r="T392" s="2">
        <v>91</v>
      </c>
      <c r="U392" s="23"/>
      <c r="V392" s="24"/>
      <c r="W392" s="23"/>
    </row>
    <row r="393" spans="3:23" ht="11.25" hidden="1" customHeight="1">
      <c r="C393" s="96"/>
      <c r="D393" s="2"/>
      <c r="G393" s="2"/>
      <c r="H393" s="2"/>
      <c r="N393" s="2"/>
      <c r="O393" s="2"/>
      <c r="P393" s="97"/>
      <c r="R393" s="22"/>
      <c r="S393" s="22"/>
      <c r="T393" s="2">
        <v>92</v>
      </c>
      <c r="U393" s="23"/>
      <c r="V393" s="24"/>
      <c r="W393" s="23"/>
    </row>
    <row r="394" spans="3:23" ht="11.25" hidden="1" customHeight="1">
      <c r="C394" s="96"/>
      <c r="D394" s="2"/>
      <c r="G394" s="2"/>
      <c r="H394" s="2"/>
      <c r="N394" s="2"/>
      <c r="O394" s="2"/>
      <c r="P394" s="97"/>
      <c r="R394" s="22"/>
      <c r="S394" s="22"/>
      <c r="T394" s="2">
        <v>91</v>
      </c>
      <c r="U394" s="23"/>
      <c r="V394" s="24"/>
      <c r="W394" s="23"/>
    </row>
    <row r="395" spans="3:23" ht="11.25" hidden="1" customHeight="1">
      <c r="C395" s="96"/>
      <c r="D395" s="2"/>
      <c r="G395" s="2"/>
      <c r="H395" s="2"/>
      <c r="N395" s="2"/>
      <c r="O395" s="2"/>
      <c r="P395" s="97"/>
      <c r="R395" s="22"/>
      <c r="S395" s="22"/>
      <c r="T395" s="2">
        <v>92</v>
      </c>
      <c r="U395" s="23"/>
      <c r="V395" s="24"/>
      <c r="W395" s="23"/>
    </row>
    <row r="396" spans="3:23" ht="11.25" hidden="1" customHeight="1">
      <c r="C396" s="96"/>
      <c r="D396" s="2"/>
      <c r="G396" s="2"/>
      <c r="H396" s="2"/>
      <c r="N396" s="2"/>
      <c r="O396" s="2"/>
      <c r="P396" s="97"/>
      <c r="R396" s="22"/>
      <c r="S396" s="22"/>
      <c r="T396" s="2">
        <v>91</v>
      </c>
      <c r="U396" s="23"/>
      <c r="V396" s="24"/>
      <c r="W396" s="23"/>
    </row>
    <row r="397" spans="3:23" ht="11.25" hidden="1" customHeight="1">
      <c r="C397" s="96"/>
      <c r="D397" s="2"/>
      <c r="G397" s="2"/>
      <c r="H397" s="2"/>
      <c r="N397" s="2"/>
      <c r="O397" s="2"/>
      <c r="P397" s="97"/>
      <c r="R397" s="22"/>
      <c r="S397" s="22"/>
      <c r="T397" s="2">
        <v>92</v>
      </c>
      <c r="U397" s="23"/>
      <c r="V397" s="24"/>
      <c r="W397" s="23"/>
    </row>
    <row r="398" spans="3:23" ht="11.25" hidden="1" customHeight="1">
      <c r="C398" s="96"/>
      <c r="D398" s="2"/>
      <c r="G398" s="2"/>
      <c r="H398" s="2"/>
      <c r="N398" s="2"/>
      <c r="O398" s="2"/>
      <c r="P398" s="97"/>
      <c r="R398" s="22"/>
      <c r="S398" s="22"/>
      <c r="T398" s="2">
        <v>91</v>
      </c>
      <c r="U398" s="23"/>
      <c r="V398" s="24"/>
      <c r="W398" s="23"/>
    </row>
    <row r="399" spans="3:23" ht="11.25" hidden="1" customHeight="1">
      <c r="C399" s="96"/>
      <c r="D399" s="2"/>
      <c r="G399" s="2"/>
      <c r="H399" s="2"/>
      <c r="N399" s="2"/>
      <c r="O399" s="2"/>
      <c r="P399" s="97"/>
      <c r="R399" s="22"/>
      <c r="S399" s="22"/>
      <c r="T399" s="2">
        <v>92</v>
      </c>
      <c r="U399" s="23"/>
      <c r="V399" s="24"/>
      <c r="W399" s="23"/>
    </row>
    <row r="400" spans="3:23" ht="11.25" hidden="1" customHeight="1">
      <c r="C400" s="96"/>
      <c r="D400" s="2"/>
      <c r="G400" s="2"/>
      <c r="H400" s="2"/>
      <c r="N400" s="2"/>
      <c r="O400" s="2"/>
      <c r="P400" s="97"/>
      <c r="R400" s="22"/>
      <c r="S400" s="22"/>
      <c r="T400" s="2">
        <v>91</v>
      </c>
      <c r="U400" s="23"/>
      <c r="V400" s="24"/>
      <c r="W400" s="23"/>
    </row>
    <row r="401" spans="3:23" ht="11.25" hidden="1" customHeight="1">
      <c r="C401" s="96"/>
      <c r="D401" s="2"/>
      <c r="G401" s="2"/>
      <c r="H401" s="2"/>
      <c r="N401" s="2"/>
      <c r="O401" s="2"/>
      <c r="P401" s="97"/>
      <c r="R401" s="22"/>
      <c r="S401" s="22"/>
      <c r="T401" s="2">
        <v>92</v>
      </c>
      <c r="U401" s="23"/>
      <c r="V401" s="24"/>
      <c r="W401" s="23"/>
    </row>
    <row r="402" spans="3:23" ht="11.25" hidden="1" customHeight="1">
      <c r="C402" s="96"/>
      <c r="D402" s="2"/>
      <c r="G402" s="2"/>
      <c r="H402" s="2"/>
      <c r="N402" s="2"/>
      <c r="O402" s="2"/>
      <c r="P402" s="97"/>
      <c r="R402" s="22"/>
      <c r="S402" s="22"/>
      <c r="T402" s="2">
        <v>91</v>
      </c>
      <c r="U402" s="23"/>
      <c r="V402" s="24"/>
      <c r="W402" s="23"/>
    </row>
    <row r="403" spans="3:23" ht="11.25" hidden="1" customHeight="1">
      <c r="C403" s="96"/>
      <c r="D403" s="2"/>
      <c r="G403" s="2"/>
      <c r="H403" s="2"/>
      <c r="N403" s="2"/>
      <c r="O403" s="2"/>
      <c r="P403" s="97"/>
      <c r="R403" s="22"/>
      <c r="S403" s="22"/>
      <c r="T403" s="2">
        <v>92</v>
      </c>
      <c r="U403" s="23"/>
      <c r="V403" s="24"/>
      <c r="W403" s="23"/>
    </row>
    <row r="404" spans="3:23" ht="11.25" hidden="1" customHeight="1">
      <c r="C404" s="96"/>
      <c r="D404" s="2"/>
      <c r="G404" s="2"/>
      <c r="H404" s="2"/>
      <c r="N404" s="2"/>
      <c r="O404" s="2"/>
      <c r="P404" s="97"/>
      <c r="R404" s="22"/>
      <c r="S404" s="22"/>
      <c r="T404" s="2">
        <v>91</v>
      </c>
      <c r="U404" s="23"/>
      <c r="V404" s="24"/>
      <c r="W404" s="23"/>
    </row>
    <row r="405" spans="3:23" ht="11.25" hidden="1" customHeight="1">
      <c r="C405" s="96"/>
      <c r="D405" s="2"/>
      <c r="G405" s="2"/>
      <c r="H405" s="2"/>
      <c r="N405" s="2"/>
      <c r="O405" s="2"/>
      <c r="P405" s="97"/>
      <c r="R405" s="22"/>
      <c r="S405" s="22"/>
      <c r="T405" s="2">
        <v>92</v>
      </c>
      <c r="U405" s="23"/>
      <c r="V405" s="24"/>
      <c r="W405" s="23"/>
    </row>
    <row r="406" spans="3:23" ht="11.25" hidden="1" customHeight="1">
      <c r="C406" s="96"/>
      <c r="D406" s="2"/>
      <c r="G406" s="2"/>
      <c r="H406" s="2"/>
      <c r="N406" s="2"/>
      <c r="O406" s="2"/>
      <c r="P406" s="97"/>
      <c r="R406" s="22"/>
      <c r="S406" s="22"/>
      <c r="T406" s="2">
        <v>91</v>
      </c>
      <c r="U406" s="23"/>
      <c r="V406" s="24"/>
      <c r="W406" s="23"/>
    </row>
    <row r="407" spans="3:23" ht="11.25" hidden="1" customHeight="1">
      <c r="C407" s="96"/>
      <c r="D407" s="2"/>
      <c r="G407" s="2"/>
      <c r="H407" s="2"/>
      <c r="N407" s="2"/>
      <c r="O407" s="2"/>
      <c r="P407" s="97"/>
      <c r="R407" s="22"/>
      <c r="S407" s="22"/>
      <c r="T407" s="2">
        <v>92</v>
      </c>
      <c r="U407" s="23"/>
      <c r="V407" s="24"/>
      <c r="W407" s="23"/>
    </row>
    <row r="408" spans="3:23" ht="11.25" hidden="1" customHeight="1">
      <c r="C408" s="96"/>
      <c r="D408" s="2"/>
      <c r="G408" s="2"/>
      <c r="H408" s="2"/>
      <c r="N408" s="2"/>
      <c r="O408" s="2"/>
      <c r="P408" s="97"/>
      <c r="R408" s="22"/>
      <c r="S408" s="22"/>
      <c r="T408" s="2">
        <v>91</v>
      </c>
      <c r="U408" s="23"/>
      <c r="V408" s="24"/>
      <c r="W408" s="23"/>
    </row>
    <row r="409" spans="3:23" ht="11.25" hidden="1" customHeight="1">
      <c r="C409" s="96"/>
      <c r="D409" s="2"/>
      <c r="G409" s="2"/>
      <c r="H409" s="2"/>
      <c r="N409" s="2"/>
      <c r="O409" s="2"/>
      <c r="P409" s="97"/>
      <c r="R409" s="22"/>
      <c r="S409" s="22"/>
      <c r="T409" s="2">
        <v>92</v>
      </c>
      <c r="U409" s="23"/>
      <c r="V409" s="24"/>
      <c r="W409" s="23"/>
    </row>
    <row r="410" spans="3:23" ht="11.25" hidden="1" customHeight="1">
      <c r="C410" s="96"/>
      <c r="D410" s="2"/>
      <c r="G410" s="2"/>
      <c r="H410" s="2"/>
      <c r="N410" s="2"/>
      <c r="O410" s="2"/>
      <c r="P410" s="97"/>
      <c r="R410" s="22"/>
      <c r="S410" s="22"/>
      <c r="T410" s="2">
        <v>91</v>
      </c>
      <c r="U410" s="23"/>
      <c r="V410" s="24"/>
      <c r="W410" s="23"/>
    </row>
    <row r="411" spans="3:23" ht="11.25" hidden="1" customHeight="1">
      <c r="C411" s="96"/>
      <c r="D411" s="2"/>
      <c r="G411" s="2"/>
      <c r="H411" s="2"/>
      <c r="N411" s="2"/>
      <c r="O411" s="2"/>
      <c r="P411" s="97"/>
      <c r="R411" s="22"/>
      <c r="S411" s="22"/>
      <c r="T411" s="2">
        <v>92</v>
      </c>
      <c r="U411" s="23"/>
      <c r="V411" s="24"/>
      <c r="W411" s="23"/>
    </row>
    <row r="412" spans="3:23" ht="11.25" hidden="1" customHeight="1">
      <c r="C412" s="96"/>
      <c r="D412" s="2"/>
      <c r="G412" s="2"/>
      <c r="H412" s="2"/>
      <c r="N412" s="2"/>
      <c r="O412" s="2"/>
      <c r="P412" s="97"/>
      <c r="R412" s="22"/>
      <c r="S412" s="22"/>
      <c r="T412" s="2">
        <v>91</v>
      </c>
      <c r="U412" s="23"/>
      <c r="V412" s="24"/>
      <c r="W412" s="23"/>
    </row>
    <row r="413" spans="3:23" ht="11.25" hidden="1" customHeight="1">
      <c r="C413" s="96"/>
      <c r="D413" s="2"/>
      <c r="G413" s="2"/>
      <c r="H413" s="2"/>
      <c r="N413" s="2"/>
      <c r="O413" s="2"/>
      <c r="P413" s="97"/>
      <c r="R413" s="22"/>
      <c r="S413" s="22"/>
      <c r="T413" s="2">
        <v>92</v>
      </c>
      <c r="U413" s="23"/>
      <c r="V413" s="24"/>
      <c r="W413" s="23"/>
    </row>
    <row r="414" spans="3:23" ht="11.25" hidden="1" customHeight="1">
      <c r="C414" s="96"/>
      <c r="D414" s="2"/>
      <c r="G414" s="2"/>
      <c r="H414" s="2"/>
      <c r="N414" s="2"/>
      <c r="O414" s="2"/>
      <c r="P414" s="97"/>
      <c r="R414" s="22"/>
      <c r="S414" s="22"/>
      <c r="T414" s="2">
        <v>91</v>
      </c>
      <c r="U414" s="23"/>
      <c r="V414" s="24"/>
      <c r="W414" s="23"/>
    </row>
    <row r="415" spans="3:23" ht="11.25" hidden="1" customHeight="1">
      <c r="C415" s="96"/>
      <c r="D415" s="2"/>
      <c r="G415" s="2"/>
      <c r="H415" s="2"/>
      <c r="N415" s="2"/>
      <c r="O415" s="2"/>
      <c r="P415" s="97"/>
      <c r="R415" s="22"/>
      <c r="S415" s="22"/>
      <c r="T415" s="2">
        <v>92</v>
      </c>
      <c r="U415" s="23"/>
      <c r="V415" s="24"/>
      <c r="W415" s="23"/>
    </row>
    <row r="416" spans="3:23" ht="11.25" hidden="1" customHeight="1">
      <c r="C416" s="96"/>
      <c r="D416" s="2"/>
      <c r="G416" s="2"/>
      <c r="H416" s="2"/>
      <c r="N416" s="2"/>
      <c r="O416" s="2"/>
      <c r="P416" s="97"/>
      <c r="R416" s="22"/>
      <c r="S416" s="22"/>
      <c r="T416" s="2">
        <v>91</v>
      </c>
      <c r="U416" s="23"/>
      <c r="V416" s="24"/>
      <c r="W416" s="23"/>
    </row>
    <row r="417" spans="3:23" ht="11.25" hidden="1" customHeight="1">
      <c r="C417" s="96"/>
      <c r="D417" s="2"/>
      <c r="G417" s="2"/>
      <c r="H417" s="2"/>
      <c r="N417" s="2"/>
      <c r="O417" s="2"/>
      <c r="P417" s="97"/>
      <c r="R417" s="22"/>
      <c r="S417" s="22"/>
      <c r="T417" s="2">
        <v>92</v>
      </c>
      <c r="U417" s="23"/>
      <c r="V417" s="24"/>
      <c r="W417" s="23"/>
    </row>
    <row r="418" spans="3:23" ht="11.25" hidden="1" customHeight="1">
      <c r="C418" s="96"/>
      <c r="D418" s="2"/>
      <c r="G418" s="2"/>
      <c r="H418" s="2"/>
      <c r="N418" s="2"/>
      <c r="O418" s="2"/>
      <c r="P418" s="97"/>
      <c r="R418" s="22"/>
      <c r="S418" s="22"/>
      <c r="T418" s="2">
        <v>91</v>
      </c>
      <c r="U418" s="23"/>
      <c r="V418" s="24"/>
      <c r="W418" s="23"/>
    </row>
    <row r="419" spans="3:23" ht="11.25" hidden="1" customHeight="1">
      <c r="C419" s="96"/>
      <c r="D419" s="2"/>
      <c r="G419" s="2"/>
      <c r="H419" s="2"/>
      <c r="N419" s="2"/>
      <c r="O419" s="2"/>
      <c r="P419" s="97"/>
      <c r="R419" s="22"/>
      <c r="S419" s="22"/>
      <c r="T419" s="2">
        <v>92</v>
      </c>
      <c r="U419" s="23"/>
      <c r="V419" s="24"/>
      <c r="W419" s="23"/>
    </row>
    <row r="420" spans="3:23" ht="11.25" hidden="1" customHeight="1">
      <c r="C420" s="96"/>
      <c r="D420" s="2"/>
      <c r="G420" s="2"/>
      <c r="H420" s="2"/>
      <c r="N420" s="2"/>
      <c r="O420" s="2"/>
      <c r="P420" s="97"/>
      <c r="R420" s="22"/>
      <c r="S420" s="22"/>
      <c r="T420" s="2">
        <v>91</v>
      </c>
      <c r="U420" s="23"/>
      <c r="V420" s="24"/>
      <c r="W420" s="23"/>
    </row>
    <row r="421" spans="3:23" ht="11.25" hidden="1" customHeight="1">
      <c r="C421" s="96"/>
      <c r="D421" s="2"/>
      <c r="G421" s="2"/>
      <c r="H421" s="2"/>
      <c r="N421" s="2"/>
      <c r="O421" s="2"/>
      <c r="P421" s="97"/>
      <c r="R421" s="22"/>
      <c r="S421" s="22"/>
      <c r="T421" s="2">
        <v>92</v>
      </c>
      <c r="U421" s="23"/>
      <c r="V421" s="24"/>
      <c r="W421" s="23"/>
    </row>
  </sheetData>
  <autoFilter ref="A1:W421" xr:uid="{00000000-0001-0000-1800-000000000000}">
    <filterColumn colId="19">
      <filters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</filters>
    </filterColumn>
  </autoFilter>
  <conditionalFormatting sqref="C1">
    <cfRule type="containsText" dxfId="2" priority="33" operator="containsText" text="SN TRAINEE">
      <formula>NOT(ISERROR(SEARCH("SN TRAINEE",C1)))</formula>
    </cfRule>
  </conditionalFormatting>
  <conditionalFormatting sqref="L4">
    <cfRule type="containsText" dxfId="1" priority="32" operator="containsText" text="SN TRAINEE">
      <formula>NOT(ISERROR(SEARCH("SN TRAINEE",L4)))</formula>
    </cfRule>
  </conditionalFormatting>
  <conditionalFormatting sqref="L36 L68">
    <cfRule type="containsText" dxfId="0" priority="31" operator="containsText" text="SN TRAINEE">
      <formula>NOT(ISERROR(SEARCH("SN TRAINEE",L36)))</formula>
    </cfRule>
  </conditionalFormatting>
  <pageMargins left="0" right="0" top="0" bottom="0" header="0.196850393700787" footer="0.39370078740157499"/>
  <pageSetup scale="73" fitToHeight="0" orientation="portrait" horizontalDpi="120" verticalDpi="144" r:id="rId1"/>
  <headerFooter scaleWithDoc="0" alignWithMargins="0"/>
  <rowBreaks count="1" manualBreakCount="1">
    <brk id="390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Avila Virginia SNP</dc:creator>
  <cp:keywords/>
  <dc:description/>
  <cp:lastModifiedBy/>
  <cp:revision/>
  <dcterms:created xsi:type="dcterms:W3CDTF">2023-08-25T04:22:40Z</dcterms:created>
  <dcterms:modified xsi:type="dcterms:W3CDTF">2023-09-18T01:18:14Z</dcterms:modified>
  <cp:category/>
  <cp:contentStatus/>
</cp:coreProperties>
</file>